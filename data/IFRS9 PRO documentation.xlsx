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xr:revisionPtr revIDLastSave="6" documentId="11_B173C25186A37B76759DC7EA6A236A1B45D39F81" xr6:coauthVersionLast="47" xr6:coauthVersionMax="47" xr10:uidLastSave="{961618ED-835E-40F2-A8EB-13316BDAC118}"/>
  <bookViews>
    <workbookView xWindow="0" yWindow="0" windowWidth="0" windowHeight="0" activeTab="1" xr2:uid="{00000000-000D-0000-FFFF-FFFF00000000}"/>
  </bookViews>
  <sheets>
    <sheet name="DB" sheetId="1" r:id="rId1"/>
    <sheet name="ECL" sheetId="2" r:id="rId2"/>
    <sheet name="Local Impairment (BOG)" sheetId="3" r:id="rId3"/>
    <sheet name="Difference" sheetId="4" r:id="rId4"/>
    <sheet name="Hide" sheetId="5" r:id="rId5"/>
    <sheet name="Brainstorming" sheetId="6" r:id="rId6"/>
    <sheet name="TrainingTest" sheetId="7" r:id="rId7"/>
    <sheet name="PD Methology" sheetId="8" r:id="rId8"/>
    <sheet name="Features"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3" i="6" l="1"/>
  <c r="C44" i="6" s="1"/>
</calcChain>
</file>

<file path=xl/sharedStrings.xml><?xml version="1.0" encoding="utf-8"?>
<sst xmlns="http://schemas.openxmlformats.org/spreadsheetml/2006/main" count="355" uniqueCount="306">
  <si>
    <t>Tables</t>
  </si>
  <si>
    <t>Database tables</t>
  </si>
  <si>
    <t>Users</t>
  </si>
  <si>
    <t>Clients</t>
  </si>
  <si>
    <t>Security</t>
  </si>
  <si>
    <t>Loans</t>
  </si>
  <si>
    <t>Guarantee</t>
  </si>
  <si>
    <t>Default_definitioin</t>
  </si>
  <si>
    <t>Other loans disclosed by client</t>
  </si>
  <si>
    <t>Macro ecos</t>
  </si>
  <si>
    <t>First name</t>
  </si>
  <si>
    <t>ID</t>
  </si>
  <si>
    <t xml:space="preserve">ID </t>
  </si>
  <si>
    <t>employment rate</t>
  </si>
  <si>
    <t>Last name</t>
  </si>
  <si>
    <t>Employee Id</t>
  </si>
  <si>
    <t>Client_fk</t>
  </si>
  <si>
    <t>Loan No.</t>
  </si>
  <si>
    <t>Guarantor</t>
  </si>
  <si>
    <t>Clients group</t>
  </si>
  <si>
    <t>Loan amount</t>
  </si>
  <si>
    <t>Inflation rate</t>
  </si>
  <si>
    <t>Company email address</t>
  </si>
  <si>
    <t>Lastname</t>
  </si>
  <si>
    <t>collateral description</t>
  </si>
  <si>
    <t>pledged amount</t>
  </si>
  <si>
    <t>overdue_days_repr_ default</t>
  </si>
  <si>
    <t>extending party</t>
  </si>
  <si>
    <t>GDP</t>
  </si>
  <si>
    <t>password</t>
  </si>
  <si>
    <t>Othernames</t>
  </si>
  <si>
    <t>collateral value</t>
  </si>
  <si>
    <t>Employee Name</t>
  </si>
  <si>
    <t>Recovery email</t>
  </si>
  <si>
    <t>Residential Address</t>
  </si>
  <si>
    <t>forced sale value</t>
  </si>
  <si>
    <t>Employer</t>
  </si>
  <si>
    <t>Email_verified</t>
  </si>
  <si>
    <t>Postal Address</t>
  </si>
  <si>
    <t>method_of_valuation</t>
  </si>
  <si>
    <t>Loan Issue Date</t>
  </si>
  <si>
    <t>Last log_in</t>
  </si>
  <si>
    <t>Client Phone No.</t>
  </si>
  <si>
    <t>cash_or_non_cash</t>
  </si>
  <si>
    <t>Deduction Start Period</t>
  </si>
  <si>
    <t>Title</t>
  </si>
  <si>
    <t>Submission Period</t>
  </si>
  <si>
    <t>Marital Status</t>
  </si>
  <si>
    <t>Maturity Period</t>
  </si>
  <si>
    <t>Gender</t>
  </si>
  <si>
    <t>Location Code</t>
  </si>
  <si>
    <t>Date of Birth</t>
  </si>
  <si>
    <t>Dalex Paddy</t>
  </si>
  <si>
    <t>Team Leader</t>
  </si>
  <si>
    <t>Previous Employee No.</t>
  </si>
  <si>
    <t>Loan Type</t>
  </si>
  <si>
    <t>Social Security No.</t>
  </si>
  <si>
    <t>Loan Amount</t>
  </si>
  <si>
    <t>Voters Id No.</t>
  </si>
  <si>
    <t>Loan Term</t>
  </si>
  <si>
    <t>Employment Date</t>
  </si>
  <si>
    <t>Administrative Fees</t>
  </si>
  <si>
    <t>Next of Kin</t>
  </si>
  <si>
    <t>Total Interest</t>
  </si>
  <si>
    <t>Next of Kin Contact:</t>
  </si>
  <si>
    <t>Total Collectible</t>
  </si>
  <si>
    <t>Next of Kin Address</t>
  </si>
  <si>
    <t>Net Loan Amount</t>
  </si>
  <si>
    <t>Search Name</t>
  </si>
  <si>
    <t>Monthly Installment</t>
  </si>
  <si>
    <t>client_type</t>
  </si>
  <si>
    <t>Principal Due</t>
  </si>
  <si>
    <t>Interest Due</t>
  </si>
  <si>
    <t>Total Due</t>
  </si>
  <si>
    <t>Principal Paid</t>
  </si>
  <si>
    <t>Interest Paid</t>
  </si>
  <si>
    <t>Outstanding Loan Balance</t>
  </si>
  <si>
    <t>Accumulated Arrears</t>
  </si>
  <si>
    <t>NDIA</t>
  </si>
  <si>
    <t>Prevailing Posted Repayment</t>
  </si>
  <si>
    <t>Prevailing Due Payment</t>
  </si>
  <si>
    <t>Current Missed Deduction</t>
  </si>
  <si>
    <t>Admin Charge</t>
  </si>
  <si>
    <t>Recovery Rate</t>
  </si>
  <si>
    <t>Deduction Status</t>
  </si>
  <si>
    <t>Total Paid</t>
  </si>
  <si>
    <t>Principal Paid2</t>
  </si>
  <si>
    <t>Interest Paid2</t>
  </si>
  <si>
    <t>Total Paid2</t>
  </si>
  <si>
    <t>Paid</t>
  </si>
  <si>
    <t>Cancelled</t>
  </si>
  <si>
    <t>Loan staging</t>
  </si>
  <si>
    <t xml:space="preserve">Where NDIA &lt; 120
Classification will be Stage 1
Where NDIA is between120 and 240 
Classification will be stage 2
Where NDIA is &gt; 240
Classification will be Stage 3
</t>
  </si>
  <si>
    <t>Exposure at Default</t>
  </si>
  <si>
    <t xml:space="preserve">
Use formula below plus accumulated arears:
P = Loans.Loan amount
r = See effective interest rate section below
n = Loans.Loan term
A = Loans.Monthly Installment
t = Loans.Loan issue date - reporting_month
</t>
  </si>
  <si>
    <t>Loan staging - IFRS 9</t>
  </si>
  <si>
    <t>Loan stages</t>
  </si>
  <si>
    <t xml:space="preserve">NDIA </t>
  </si>
  <si>
    <t>Stage 1</t>
  </si>
  <si>
    <t>0 - 120</t>
  </si>
  <si>
    <t>Stage 2</t>
  </si>
  <si>
    <t>120 - 240</t>
  </si>
  <si>
    <t>Stage 3</t>
  </si>
  <si>
    <t>240+</t>
  </si>
  <si>
    <t>Loss given Default</t>
  </si>
  <si>
    <t>if security.cash_or_non_cash = cash
loss_given_default = ((Loans.Outstanding loan balance - security.collateral value ) / Loans.Outstanding loan balance) X 100
else:
loss_given_default = Loans.Outstanding loan balance - security.forced sale value) / Loans.Outstanding loan balance) X 100</t>
  </si>
  <si>
    <t>Effective Interest rate</t>
  </si>
  <si>
    <t xml:space="preserve">import numpy as np
loan_amount = -Loans.Loan Amount
monthly_payment = Loans.Monthly Installment
num_months = Loans.Loan Term
cash_flows = [loan_amount] + [monthly_payment] * num_months
monthly_eir = np.irr(cash_flows)
annual_eir = (1 + monthly_eir) ** 12 - 1
</t>
  </si>
  <si>
    <t>Probabity of default</t>
  </si>
  <si>
    <t>See here</t>
  </si>
  <si>
    <t>Marginal Expected Credit Loss</t>
  </si>
  <si>
    <t xml:space="preserve">
MECL =Present value of (EAD* PD * LGD) </t>
  </si>
  <si>
    <t>Lifetime Expected Credit Loss</t>
  </si>
  <si>
    <t>LECL = Sum of MECL for now and subsequent years</t>
  </si>
  <si>
    <t>Loan categorisation</t>
  </si>
  <si>
    <t xml:space="preserve">Where NDIA = 0 or empty
Classification will be Current
Where NDIA is 30 - 90 days
Classification will be Past due
Where NDIA is 91 to 180
Classification will be substandard
Where NDIA is 181 to 360 classification will be Doubtful
Where NDIA is more than 360
Classification will be Loss
</t>
  </si>
  <si>
    <t>Provisioning</t>
  </si>
  <si>
    <t xml:space="preserve">
Standard: 1%–2%.
Substandard: 10%–25%.
Doubtful: 50%.
Loss: 100%.</t>
  </si>
  <si>
    <t>Difference</t>
  </si>
  <si>
    <t>Local impairment total minus ECL total</t>
  </si>
  <si>
    <t>Key parameters</t>
  </si>
  <si>
    <t>reporting_date = input by user
years = Loans.Loan Term // 12  
remaining_months = Loans.Loan Term % 12
prior_year = Year(reporting date) - 1
At reporting date:
Check reportiong date provided by user
Check most recent past payment period = if date is between 20 and 30th , then most recent payment period is current month, else recent paymnt period is current month minus 1
Calculate amortised loan balance as at most recent past payment period
Calculate amortised loan balance at 12 months from recent payment period
Calculate amortised loan every 12 months following
check the farthest maturity period in the loan master sheet uploaded (a)
Check reportiong period provided by user (b)
Check the number of months between (a) and (b)
Determin the number of years, and months in the above
Every year interval would have a unique identifier (ideally in an ascending order)
The remaining months that are not up to a year should be treated as a year and have a unique number too</t>
  </si>
  <si>
    <t>Corporates</t>
  </si>
  <si>
    <t>X1</t>
  </si>
  <si>
    <t>2.2. Corporates: Corporate PD Model</t>
  </si>
  <si>
    <t>Financial data:</t>
  </si>
  <si>
    <t>X2</t>
  </si>
  <si>
    <t>Debt-to-equity ratio.</t>
  </si>
  <si>
    <t>total interest bearing debt, total equity</t>
  </si>
  <si>
    <t>Current ratio.</t>
  </si>
  <si>
    <t>current assets/current liabilities</t>
  </si>
  <si>
    <t>Profit margins (e.g., EBITDA margin).</t>
  </si>
  <si>
    <t>EBITDA</t>
  </si>
  <si>
    <t>Non-financial data:</t>
  </si>
  <si>
    <t>Industry risk profile.</t>
  </si>
  <si>
    <t>we can't get that data</t>
  </si>
  <si>
    <t>Management quality (qualitative data).</t>
  </si>
  <si>
    <t>this is subjective, not sure how this affects ability to pay</t>
  </si>
  <si>
    <t>Credit rating.</t>
  </si>
  <si>
    <t xml:space="preserve">excluded from </t>
  </si>
  <si>
    <t>Loan characteristics:</t>
  </si>
  <si>
    <t>Loan amount, tenure, and covenants.</t>
  </si>
  <si>
    <t>Macroeconomic variables:</t>
  </si>
  <si>
    <t>Interest rates.</t>
  </si>
  <si>
    <t>Sector-specific factors.</t>
  </si>
  <si>
    <t>IFRS 9</t>
  </si>
  <si>
    <t>EAD Calculator</t>
  </si>
  <si>
    <t>default determinor</t>
  </si>
  <si>
    <t>Loss given default</t>
  </si>
  <si>
    <t>recoverable from guarantee</t>
  </si>
  <si>
    <t>Effective interest rate calculator</t>
  </si>
  <si>
    <t>Loan scheduler</t>
  </si>
  <si>
    <t>PD</t>
  </si>
  <si>
    <t>Lifetime ECL Calculator</t>
  </si>
  <si>
    <t>12month ecl calculaotr</t>
  </si>
  <si>
    <t>Loan classifyer</t>
  </si>
  <si>
    <t>Reporting</t>
  </si>
  <si>
    <t>Sandbox</t>
  </si>
  <si>
    <t>Inputs</t>
  </si>
  <si>
    <t>based on BOG default rules (find on bog site -&gt; downloads</t>
  </si>
  <si>
    <t xml:space="preserve">Loan amount </t>
  </si>
  <si>
    <t>Report on running loans (sort by balance, desc.), same as exposure report</t>
  </si>
  <si>
    <t>assumed default date (likely to be date of reporting)</t>
  </si>
  <si>
    <t>Scheduled dates of payments (including loan disbursements)</t>
  </si>
  <si>
    <t>loan interest</t>
  </si>
  <si>
    <t>Average interest rate charged</t>
  </si>
  <si>
    <t>Exposure (last amortised balance prior to assumed default date)</t>
  </si>
  <si>
    <t>expected payments on each scheduled date</t>
  </si>
  <si>
    <t>loan term</t>
  </si>
  <si>
    <t>Report on running loans (sort by disbursement date, descending/ascending.)</t>
  </si>
  <si>
    <t>Start date</t>
  </si>
  <si>
    <t>Interest report, interest rate sort from highest to lowest</t>
  </si>
  <si>
    <t>disbursement date</t>
  </si>
  <si>
    <t>average interest rate report by loan type or group</t>
  </si>
  <si>
    <t>cooling off period in days</t>
  </si>
  <si>
    <t>Defaults (sort by descedning)</t>
  </si>
  <si>
    <t>Exposure assuming a default date</t>
  </si>
  <si>
    <t>Default methodology report</t>
  </si>
  <si>
    <t>calculation</t>
  </si>
  <si>
    <t>Loss given default methodology report</t>
  </si>
  <si>
    <t>Exposure</t>
  </si>
  <si>
    <t>(EAD - Forced sale value of collateral - recoverable from guarantor)/ead</t>
  </si>
  <si>
    <t>Pledged amount</t>
  </si>
  <si>
    <t>Use XIRR function equivalent in Python</t>
  </si>
  <si>
    <t>=sum of (EAD*PD%*LGD%) for each remaining year to loan maturity, then discount it to PV using effective interest rate</t>
  </si>
  <si>
    <t>=(EAD*PD%*LGD%), then discount it to PV using effective interest rate</t>
  </si>
  <si>
    <t>Stage 1: Performing loans with a 12-month ECL.
Stage 2: Loans with a significant increase in credit risk, using lifetime ECL.
Stage 3: Credit-impaired loans, with lifetime ECL.</t>
  </si>
  <si>
    <t>guarantee report</t>
  </si>
  <si>
    <t>Forced sale reports</t>
  </si>
  <si>
    <t>Average Effective interest for each group report</t>
  </si>
  <si>
    <t xml:space="preserve">IFRS 9 ECL reports as at date </t>
  </si>
  <si>
    <t>BOG Impairment report</t>
  </si>
  <si>
    <t>complete impairment report (IFRS 9, BOG, Journals)</t>
  </si>
  <si>
    <t>A reconciliation of Impairment Allowance and BOG Provisioning Norm should be provided.</t>
  </si>
  <si>
    <t>BOG</t>
  </si>
  <si>
    <t>Impairment ratio report</t>
  </si>
  <si>
    <t>Loan categorizer</t>
  </si>
  <si>
    <t>Current/standard determiner</t>
  </si>
  <si>
    <t>Past Due/Watchlist:</t>
  </si>
  <si>
    <t>Substandard:</t>
  </si>
  <si>
    <t>Doubtful</t>
  </si>
  <si>
    <t>Loss</t>
  </si>
  <si>
    <t>Data</t>
  </si>
  <si>
    <t>data</t>
  </si>
  <si>
    <t xml:space="preserve">calculation </t>
  </si>
  <si>
    <t>Current/Standard: Payments are up to date.
Past Due/Watchlist: Payments are overdue for 30–90 days.
Substandard: Payments are overdue for 91–180 days.
Doubtful: Payments are overdue for 181–360 days.
Loss: Payments are overdue for more than 360 days or are deemed uncollectible.
current loan balance = initially computed amortised balanc, allow CT difference
expected prior payment date =&gt; actual payment date
if above conditions are met, then update loan table and say loan is standard
if total payments to date per amortisation table &gt; total payments actually received:
recompute amortisation table based on current loan details
and recompare
if total payments to date per amortisation table &gt; total payments actually recieved:
check how many days over due
if overdue by 30 - 90 days flag as past due or watchlist</t>
  </si>
  <si>
    <t>Provisioning requirements are set for each loan category:
Standard: 1%–2%.
Substandard: 10%–25%.
Doubtful: 50%.
Loss: 100%.</t>
  </si>
  <si>
    <t xml:space="preserve">Journal </t>
  </si>
  <si>
    <t>where the IFRS impairment rules result in a lower provision than
would be the case if the BOG‟s prudential norms were applied, the difference
should be charged to Income Surplus and credited to a Credit Risk Reserve and
in case the opposite happens subsequently, a reversal should be made to the
extent of the credit balance in the Credit Risk Reserve;</t>
  </si>
  <si>
    <t>BOG ECL</t>
  </si>
  <si>
    <t>IFRS ECL</t>
  </si>
  <si>
    <t>income surplus</t>
  </si>
  <si>
    <t>Credit risk reserve</t>
  </si>
  <si>
    <r>
      <rPr>
        <u/>
        <sz val="10"/>
        <color rgb="FF1155CC"/>
        <rFont val="Arial"/>
      </rPr>
      <t>Home Credit Default Risk | Kaggle</t>
    </r>
  </si>
  <si>
    <r>
      <rPr>
        <u/>
        <sz val="10"/>
        <color rgb="FF1155CC"/>
        <rFont val="Arial"/>
      </rPr>
      <t>Give Me Some Credit | Kaggle</t>
    </r>
  </si>
  <si>
    <t>Statlog (German Credit Data) - UCI Machine Learning Repository</t>
  </si>
  <si>
    <r>
      <rPr>
        <u/>
        <sz val="10"/>
        <color rgb="FF1155CC"/>
        <rFont val="Arial"/>
      </rPr>
      <t>Statlog (Australian Credit Approval) - UCI Machine Learning Repository</t>
    </r>
  </si>
  <si>
    <t>Train model with data above, test accuracy with historical data provided by Dalex</t>
  </si>
  <si>
    <t>Choose most accurately trained data out of the 4</t>
  </si>
  <si>
    <t xml:space="preserve">Report on why it is most accurate: the nature of the 4 data, state that you have chose one and name it, how does the outcome of training using chosen data compare with the others. state why you made a decision to chose </t>
  </si>
  <si>
    <t>document quality of training data. are any features missing? how are you filling the missing? how will it affect the outcome of the training</t>
  </si>
  <si>
    <t xml:space="preserve"> IFRS 9 does NOT define default at all, despite the fact that default is mentioned in almost every single rule in IFRS 9 related to expected credit loss.
Cambridge Dictionary defines default as “failure to do something, such as pay debt, that you legally have to do”.
This is a very broad definition and does not tell you much about WHEN exactly that failure happens. (https://www.cpdbox.com/ecl-measure-probability-of-default/)</t>
  </si>
  <si>
    <t>Luckily, IFRS 9 gives us a guidance.
In par. B5.5.37 it asks YOU (=the reporting entity) to define default in line with your internal credit risk management policies specifically for individual groups of financial instruments.
What does that mean in practice?</t>
  </si>
  <si>
    <t xml:space="preserve">for the purpose credit risk management Dalex groups its loan products (financial assets) into </t>
  </si>
  <si>
    <t>the below</t>
  </si>
  <si>
    <t>1. Loans to individuals salaried by Controller and Accountant General's Department</t>
  </si>
  <si>
    <t>2. Loans given to corporate entities</t>
  </si>
  <si>
    <t>Based on past experience and some agreement with CCAGD we define default as when NDIA is more than 120 days</t>
  </si>
  <si>
    <t>For loans to business we define payment as when repayment is 10 days overdue</t>
  </si>
  <si>
    <r>
      <rPr>
        <sz val="10"/>
        <color theme="1"/>
        <rFont val="Arial"/>
      </rPr>
      <t xml:space="preserve">IFRS 9 does not prescribe a specific method for calculating the Probability of Default (PD). Instead, it provides principles and guidelines for measuring Expected Credit Losses (ECL), which include the use of PD as a critical input. Financial institutions are expected to develop their methodologies for estimating PD based on the nature of their portfolios, historical data, and forward-looking information.
Key Requirements Under IFRS 9 for PD:
Point-in-Time (PIT) vs. Through-the-Cycle (TTC):
IFRS 9 requires a Point-in-Time (PIT) PD (IFRS 9, Appendix A (Defined Terms), reflecting the current and forecasted credit environment, rather than a Through-the-Cycle (TTC) PD used in regulatory frameworks like Basel II/III.
Lifetime vs. 12-Month PD (IFRS 9, Paragraphs 5.5.5 and B5.5.37):
Lifetime PD: Used for financial instruments in Stage 2 or Stage 3 (i.e., when there has been a significant increase in credit risk or default has occurred).
12-Month PD: Used for financial instruments in Stage 1 (i.e., no significant increase in credit risk).
Forward-Looking Information ( IFRS 9, Paragraph B5.5.15):
IFRS 9 emphasizes incorporating macroeconomic forecasts and other forward-looking data into the PD calculation to reflect the expected future risk environment.
Segmentation: IFRS 9, Paragraph B5.5.5
Entities are required to segment their portfolios based on shared credit risk characteristics (e.g., industry, geography, or credit rating) to ensure more accurate PD estimates.
Empirical and Model-Driven Approaches:IFRS 9, Paragraph B5.5.17
Entities can use historical data, statistical models, or external ratings as a foundation for PD estimation. Advanced approaches like logistic regression, machine learning, or Monte Carlo simulations are commonly employed.
</t>
    </r>
    <r>
      <rPr>
        <b/>
        <sz val="10"/>
        <color theme="1"/>
        <rFont val="Arial"/>
      </rPr>
      <t>Common Methodologies for Estimating PD:</t>
    </r>
    <r>
      <rPr>
        <sz val="10"/>
        <color theme="1"/>
        <rFont val="Arial"/>
      </rPr>
      <t xml:space="preserve">
While IFRS 9 does not dictate how PD should be calculated, these are typical approaches:
Transition Matrices: Using historical data to estimate the likelihood of migration between credit rating classes.
Logistic Regression Models: Predicting default based on borrower-specific and macroeconomic factors.
Machine Learning Models: Leveraging complex patterns in large datasets for PD estimation.
External Ratings: Mapping external credit ratings (e.g., Moody's, S&amp;P) to default probabilities.</t>
    </r>
  </si>
  <si>
    <t>Agreed due to cost of obtaining external credit ratings we would use alternatives</t>
  </si>
  <si>
    <t>Transition matrices relies on credit rating so ruled out</t>
  </si>
  <si>
    <t>due to cost of machine learning models, they are ruled out</t>
  </si>
  <si>
    <t>Now we will use Logistic regression model</t>
  </si>
  <si>
    <t>Logistic regression</t>
  </si>
  <si>
    <t>Description: A widely used model for binary classification problems, ideal for estimating the likelihood of default (default = 1, no default = 0).</t>
  </si>
  <si>
    <t>Input Features: Loan characteristics (amount, term, interest rate), borrower attributes (age), and macroeconomic variables (employment rate)</t>
  </si>
  <si>
    <t>Advantages:</t>
  </si>
  <si>
    <t>Easy to implement and interpret.</t>
  </si>
  <si>
    <t>Effective for small-to-moderate datasets.</t>
  </si>
  <si>
    <t>Limitations:</t>
  </si>
  <si>
    <t>Assumes a linear relationship between predictors and log odds.</t>
  </si>
  <si>
    <t>Does it make sense that binary models be used for probability of default estimation 
Using binary models for probability of default (PD) estimation makes sense because:
1. Nature of the Problem
Default Prediction is a Binary Classification Task:
The outcome is binary: A loan either defaults (1) or does not default (0) during a given time period.
Binary models, such as logistic regression or machine learning classifiers (e.g., Random Forest, Gradient Boosting), are well-suited for this type of problem.
2. Output of Binary Models
Probability Estimates:
Binary models (e.g., logistic regression) do not just classify outcomes but also provide a probability score for the likelihood of default. This score aligns with the definition of Probability of Default:
PD
=
𝑃
(
Default
=
1
∣
Loan Characteristics, Borrower Attributes
)
PD=P(Default=1∣Loan Characteristics, Borrower Attributes)
Example:
If a model predicts that a loan has a 0.25 probability of default, this means there is a 25% chance that the loan will default.
3. Why Binary Models Work for PD Estimation
Interpretability:
Logistic regression, a binary model, allows for clear interpretation of how different factors (e.g., debt-to-income ratio, credit score) affect default probability.
Flexibility:
More complex binary models, such as Random Forests or Gradient Boosting, can handle non-linear relationships and interactions between variables.
Scalability:
Binary models can be applied to large datasets with many loans, making them practical for portfolio-wide PD estimation.
4. Challenges and Considerations
While binary models are effective for PD estimation, the following must be considered:
a. Time Horizon:
Binary models are typically used to predict default within a specific time horizon (e.g., 12 months).
To estimate lifetime PD, additional techniques, such as transition matrices or survival analysis, may be needed.
b. Forward-Looking Adjustments:
Binary models are trained on historical data, which may not reflect future conditions. To comply with IFRS 9, you need to incorporate forward-looking macroeconomic scenarios into the model.
c. Threshold for Default:
A binary model assigns probabilities, but the definition of "default" (e.g., 90 days past due) determines how the model's predictions are used.
d. Correlation and Dependencies:
Portfolio-level PD estimation requires understanding correlations between loans, which binary models may not inherently address.</t>
  </si>
  <si>
    <t>Dependent variable</t>
  </si>
  <si>
    <t>Individuals</t>
  </si>
  <si>
    <t>Variable type</t>
  </si>
  <si>
    <t>Variable represents</t>
  </si>
  <si>
    <t>Service 4 comments</t>
  </si>
  <si>
    <t>Data required</t>
  </si>
  <si>
    <t>Variable</t>
  </si>
  <si>
    <t>Defaul</t>
  </si>
  <si>
    <t>default/no default</t>
  </si>
  <si>
    <t>Dependent on the independent variables listed below</t>
  </si>
  <si>
    <t>X</t>
  </si>
  <si>
    <t>Y</t>
  </si>
  <si>
    <t>coefficient</t>
  </si>
  <si>
    <t>measures the weight or the impact of the independent variable on the dependent variable</t>
  </si>
  <si>
    <t>Judgemental</t>
  </si>
  <si>
    <t>β</t>
  </si>
  <si>
    <t>Independent variables</t>
  </si>
  <si>
    <t>Borrower characteristics:</t>
  </si>
  <si>
    <r>
      <rPr>
        <sz val="10"/>
        <color theme="1"/>
        <rFont val="Arial"/>
      </rPr>
      <t>X</t>
    </r>
    <r>
      <rPr>
        <sz val="7"/>
        <color theme="1"/>
        <rFont val="Arial"/>
      </rPr>
      <t>1</t>
    </r>
  </si>
  <si>
    <t>Independent variable</t>
  </si>
  <si>
    <t>Credit score.</t>
  </si>
  <si>
    <t xml:space="preserve">We can't afford to get </t>
  </si>
  <si>
    <t>N/A</t>
  </si>
  <si>
    <t>Debt-to-income ratio (DTI).</t>
  </si>
  <si>
    <t>we do not have access to credit reports so we will assume that other than 'other loans' disclosed to us by client, there are no 'other loans'</t>
  </si>
  <si>
    <t>X3</t>
  </si>
  <si>
    <t>Age, employment type, and history.</t>
  </si>
  <si>
    <t>We will rely on age. Internal discussion showed that the factors affecting loan repayment are mainly employee resignations/employment terminations, death of employee or underpayment by employer due to error. 
Employment type feature is irrelevant as all employees who receive loans are in full-time employment.</t>
  </si>
  <si>
    <t>Date of birth</t>
  </si>
  <si>
    <t>X5</t>
  </si>
  <si>
    <t>Loan-to-value ratio (LTV).</t>
  </si>
  <si>
    <t>Information not collected, cant be applied</t>
  </si>
  <si>
    <t>X6</t>
  </si>
  <si>
    <t>Interest rate.</t>
  </si>
  <si>
    <t>As below</t>
  </si>
  <si>
    <t>X7</t>
  </si>
  <si>
    <t>Loan tenure.</t>
  </si>
  <si>
    <t>Loan tenure could be considered as a relevant factor in estimating probability of default. The reason being that the longer the tenure, the more customers are going to get tired of loan repayments and consider defaulting. However, given that deductions are done at source, this factor is no longer relevant</t>
  </si>
  <si>
    <t>Payment behavior:</t>
  </si>
  <si>
    <t>X9</t>
  </si>
  <si>
    <t>Days past due (DPD).</t>
  </si>
  <si>
    <t>Days past due is a strong indicator of default, and should not be ignored</t>
  </si>
  <si>
    <t>X10</t>
  </si>
  <si>
    <t>Prepayment history.</t>
  </si>
  <si>
    <t>We can't get repayment history</t>
  </si>
  <si>
    <t>records of loan repayment (date of payment amount of payment, expected date of payment, expected amount of payment</t>
  </si>
  <si>
    <t>X12</t>
  </si>
  <si>
    <t>Unemployment rate.</t>
  </si>
  <si>
    <t>Rate of unemployment could affect probability of loan repayment. Unemployment covers both those who are yet to be employed and thosee who have lost their employment. A high unemployment rate projection could mean more contract termination ahead and increased risk of loan default</t>
  </si>
  <si>
    <t>unemployment rate</t>
  </si>
  <si>
    <t>X13</t>
  </si>
  <si>
    <t>Inflation.</t>
  </si>
  <si>
    <t>affects both individuals and entities, affects individuals more, however, not applicable as repayments are not made out of employee pockets. Employers deduct at sources so Inflation has nil impact on ability to re-pay</t>
  </si>
  <si>
    <t>X14</t>
  </si>
  <si>
    <t>GDP growth.</t>
  </si>
  <si>
    <t>As above</t>
  </si>
  <si>
    <t>X17</t>
  </si>
  <si>
    <t>Method of deduction</t>
  </si>
  <si>
    <t>repayments deducted at source, paid voluntarily by client</t>
  </si>
  <si>
    <t>From here follow methodoloby here</t>
  </si>
  <si>
    <t>https://www.kaggle.com/code/sasakitetsuya/statistical-significance-b-w-f-p-and-c-o/notebook</t>
  </si>
  <si>
    <t>Home Credit Default Risk</t>
  </si>
  <si>
    <t>Features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</si>
</sst>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0"/>
      <color rgb="FF000000"/>
      <name val="Arial"/>
      <scheme val="minor"/>
    </font>
    <font>
      <sz val="11"/>
      <color rgb="FF000000"/>
      <name val="Arial"/>
    </font>
    <font>
      <sz val="10"/>
      <color theme="1"/>
      <name val="Arial"/>
      <scheme val="minor"/>
    </font>
    <font>
      <b/>
      <sz val="9"/>
      <color rgb="FFFFFFFF"/>
      <name val="Arial"/>
    </font>
    <font>
      <b/>
      <sz val="9"/>
      <color rgb="FFFFFFFF"/>
      <name val="Arial"/>
      <scheme val="minor"/>
    </font>
    <font>
      <b/>
      <sz val="9"/>
      <color theme="1"/>
      <name val="Arial"/>
      <scheme val="minor"/>
    </font>
    <font>
      <b/>
      <sz val="10"/>
      <color theme="1"/>
      <name val="Arial"/>
      <scheme val="minor"/>
    </font>
    <font>
      <sz val="9"/>
      <color rgb="FF000000"/>
      <name val="Arial"/>
    </font>
    <font>
      <sz val="9"/>
      <color theme="1"/>
      <name val="Arial"/>
      <scheme val="minor"/>
    </font>
    <font>
      <sz val="11"/>
      <color rgb="FF000000"/>
      <name val="&quot;Aptos Narrow&quot;"/>
    </font>
    <font>
      <b/>
      <sz val="11"/>
      <color rgb="FF000000"/>
      <name val="&quot;Aptos Narrow&quot;"/>
    </font>
    <font>
      <sz val="9"/>
      <color rgb="FFFFFFFF"/>
      <name val="Arial"/>
      <scheme val="minor"/>
    </font>
    <font>
      <sz val="10"/>
      <name val="Arial"/>
    </font>
    <font>
      <u/>
      <sz val="9"/>
      <color rgb="FF0000FF"/>
      <name val="Arial"/>
    </font>
    <font>
      <sz val="9"/>
      <color rgb="FF3D85C6"/>
      <name val="Arial"/>
      <scheme val="minor"/>
    </font>
    <font>
      <u/>
      <sz val="10"/>
      <color rgb="FF0000FF"/>
      <name val="Arial"/>
    </font>
    <font>
      <b/>
      <sz val="10"/>
      <color theme="0"/>
      <name val="Arial"/>
      <scheme val="minor"/>
    </font>
    <font>
      <sz val="14"/>
      <color rgb="FF333333"/>
      <name val="Arial"/>
    </font>
    <font>
      <sz val="10"/>
      <color theme="0"/>
      <name val="Arial"/>
      <scheme val="minor"/>
    </font>
    <font>
      <u/>
      <sz val="10"/>
      <color rgb="FF1155CC"/>
      <name val="Arial"/>
    </font>
    <font>
      <sz val="10"/>
      <color theme="1"/>
      <name val="Arial"/>
    </font>
    <font>
      <b/>
      <sz val="10"/>
      <color theme="1"/>
      <name val="Arial"/>
    </font>
    <font>
      <sz val="7"/>
      <color theme="1"/>
      <name val="Arial"/>
    </font>
  </fonts>
  <fills count="9">
    <fill>
      <patternFill patternType="none"/>
    </fill>
    <fill>
      <patternFill patternType="gray125"/>
    </fill>
    <fill>
      <patternFill patternType="solid">
        <fgColor rgb="FF000000"/>
        <bgColor rgb="FF000000"/>
      </patternFill>
    </fill>
    <fill>
      <patternFill patternType="solid">
        <fgColor rgb="FF00FFFF"/>
        <bgColor rgb="FF00FFFF"/>
      </patternFill>
    </fill>
    <fill>
      <patternFill patternType="solid">
        <fgColor theme="0"/>
        <bgColor theme="0"/>
      </patternFill>
    </fill>
    <fill>
      <patternFill patternType="solid">
        <fgColor rgb="FF00FF00"/>
        <bgColor rgb="FF00FF00"/>
      </patternFill>
    </fill>
    <fill>
      <patternFill patternType="solid">
        <fgColor rgb="FFFFFF00"/>
        <bgColor rgb="FFFFFF00"/>
      </patternFill>
    </fill>
    <fill>
      <patternFill patternType="solid">
        <fgColor rgb="FFFFFFFF"/>
        <bgColor rgb="FFFFFFFF"/>
      </patternFill>
    </fill>
    <fill>
      <patternFill patternType="solid">
        <fgColor rgb="FFFFFF0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s>
  <cellStyleXfs count="1">
    <xf numFmtId="0" fontId="0" fillId="0" borderId="0"/>
  </cellStyleXfs>
  <cellXfs count="60">
    <xf numFmtId="0" fontId="0" fillId="0" borderId="0" xfId="0"/>
    <xf numFmtId="0" fontId="1" fillId="0" borderId="0" xfId="0" applyFont="1"/>
    <xf numFmtId="0" fontId="2" fillId="0" borderId="0" xfId="0" applyFont="1"/>
    <xf numFmtId="0" fontId="3" fillId="2" borderId="1" xfId="0" applyFont="1" applyFill="1" applyBorder="1" applyAlignment="1">
      <alignment horizontal="left" wrapText="1"/>
    </xf>
    <xf numFmtId="0" fontId="4" fillId="2" borderId="2" xfId="0" applyFont="1" applyFill="1" applyBorder="1" applyAlignment="1">
      <alignment wrapText="1"/>
    </xf>
    <xf numFmtId="0" fontId="4" fillId="2" borderId="3" xfId="0" applyFont="1" applyFill="1" applyBorder="1" applyAlignment="1">
      <alignment wrapText="1"/>
    </xf>
    <xf numFmtId="0" fontId="5" fillId="0" borderId="0" xfId="0" applyFont="1" applyAlignment="1">
      <alignment wrapText="1"/>
    </xf>
    <xf numFmtId="0" fontId="6" fillId="0" borderId="0" xfId="0" applyFont="1"/>
    <xf numFmtId="0" fontId="7" fillId="0" borderId="1" xfId="0" applyFont="1" applyBorder="1" applyAlignment="1">
      <alignment horizontal="left" wrapText="1"/>
    </xf>
    <xf numFmtId="0" fontId="8" fillId="0" borderId="0" xfId="0" applyFont="1" applyAlignment="1">
      <alignment wrapText="1"/>
    </xf>
    <xf numFmtId="0" fontId="8" fillId="3" borderId="4" xfId="0" applyFont="1" applyFill="1" applyBorder="1" applyAlignment="1">
      <alignment wrapText="1"/>
    </xf>
    <xf numFmtId="0" fontId="9" fillId="0" borderId="0" xfId="0" applyFont="1"/>
    <xf numFmtId="0" fontId="8" fillId="3" borderId="0" xfId="0" applyFont="1" applyFill="1" applyAlignment="1">
      <alignment wrapText="1"/>
    </xf>
    <xf numFmtId="0" fontId="8" fillId="0" borderId="4" xfId="0" applyFont="1" applyBorder="1" applyAlignment="1">
      <alignment wrapText="1"/>
    </xf>
    <xf numFmtId="0" fontId="7" fillId="0" borderId="5" xfId="0" applyFont="1" applyBorder="1" applyAlignment="1">
      <alignment horizontal="left" wrapText="1"/>
    </xf>
    <xf numFmtId="0" fontId="8" fillId="0" borderId="5" xfId="0" applyFont="1" applyBorder="1" applyAlignment="1">
      <alignment wrapText="1"/>
    </xf>
    <xf numFmtId="0" fontId="1" fillId="3" borderId="0" xfId="0" applyFont="1" applyFill="1"/>
    <xf numFmtId="0" fontId="10" fillId="0" borderId="0" xfId="0" applyFont="1"/>
    <xf numFmtId="0" fontId="10" fillId="0" borderId="4" xfId="0" applyFont="1" applyBorder="1"/>
    <xf numFmtId="0" fontId="2" fillId="0" borderId="5" xfId="0" applyFont="1" applyBorder="1"/>
    <xf numFmtId="0" fontId="2" fillId="0" borderId="4" xfId="0" applyFont="1" applyBorder="1"/>
    <xf numFmtId="0" fontId="9" fillId="3" borderId="0" xfId="0" applyFont="1" applyFill="1"/>
    <xf numFmtId="0" fontId="10" fillId="0" borderId="5" xfId="0" applyFont="1" applyBorder="1"/>
    <xf numFmtId="0" fontId="2" fillId="0" borderId="6" xfId="0" applyFont="1" applyBorder="1"/>
    <xf numFmtId="0" fontId="2" fillId="0" borderId="7" xfId="0" applyFont="1" applyBorder="1"/>
    <xf numFmtId="0" fontId="9" fillId="0" borderId="7" xfId="0" applyFont="1" applyBorder="1"/>
    <xf numFmtId="0" fontId="2" fillId="0" borderId="8" xfId="0" applyFont="1" applyBorder="1"/>
    <xf numFmtId="0" fontId="2" fillId="0" borderId="0" xfId="0" applyFont="1" applyAlignment="1">
      <alignment wrapText="1"/>
    </xf>
    <xf numFmtId="0" fontId="5" fillId="4" borderId="0" xfId="0" applyFont="1" applyFill="1" applyAlignment="1">
      <alignment wrapText="1"/>
    </xf>
    <xf numFmtId="0" fontId="6" fillId="4" borderId="0" xfId="0" applyFont="1" applyFill="1"/>
    <xf numFmtId="0" fontId="2" fillId="4" borderId="0" xfId="0" applyFont="1" applyFill="1"/>
    <xf numFmtId="0" fontId="6" fillId="0" borderId="0" xfId="0" applyFont="1" applyAlignment="1">
      <alignment horizontal="center"/>
    </xf>
    <xf numFmtId="0" fontId="6" fillId="5" borderId="0" xfId="0" applyFont="1" applyFill="1" applyAlignment="1">
      <alignment wrapText="1"/>
    </xf>
    <xf numFmtId="0" fontId="6" fillId="6" borderId="0" xfId="0" applyFont="1" applyFill="1" applyAlignment="1">
      <alignment wrapText="1"/>
    </xf>
    <xf numFmtId="0" fontId="6" fillId="0" borderId="0" xfId="0" applyFont="1" applyAlignment="1">
      <alignment wrapText="1"/>
    </xf>
    <xf numFmtId="0" fontId="2" fillId="0" borderId="0" xfId="0" quotePrefix="1" applyFont="1" applyAlignment="1">
      <alignment wrapText="1"/>
    </xf>
    <xf numFmtId="0" fontId="15" fillId="0" borderId="0" xfId="0" applyFont="1"/>
    <xf numFmtId="0" fontId="16" fillId="2" borderId="0" xfId="0" applyFont="1" applyFill="1"/>
    <xf numFmtId="0" fontId="17" fillId="7" borderId="0" xfId="0" applyFont="1" applyFill="1" applyAlignment="1">
      <alignment horizontal="left"/>
    </xf>
    <xf numFmtId="0" fontId="18" fillId="2" borderId="0" xfId="0" applyFont="1" applyFill="1"/>
    <xf numFmtId="0" fontId="16" fillId="2" borderId="0" xfId="0" applyFont="1" applyFill="1" applyAlignment="1">
      <alignment wrapText="1"/>
    </xf>
    <xf numFmtId="0" fontId="18" fillId="2" borderId="0" xfId="0" applyFont="1" applyFill="1" applyAlignment="1">
      <alignment wrapText="1"/>
    </xf>
    <xf numFmtId="0" fontId="8" fillId="0" borderId="6" xfId="0" applyFont="1" applyBorder="1" applyAlignment="1">
      <alignment wrapText="1"/>
    </xf>
    <xf numFmtId="0" fontId="11" fillId="2" borderId="9" xfId="0" applyFont="1" applyFill="1" applyBorder="1" applyAlignment="1">
      <alignment wrapText="1"/>
    </xf>
    <xf numFmtId="0" fontId="13" fillId="0" borderId="6" xfId="0" applyFont="1" applyBorder="1" applyAlignment="1">
      <alignment wrapText="1"/>
    </xf>
    <xf numFmtId="0" fontId="2" fillId="0" borderId="0" xfId="0" applyFont="1" applyAlignment="1">
      <alignment wrapText="1"/>
    </xf>
    <xf numFmtId="0" fontId="8" fillId="0" borderId="6" xfId="0" quotePrefix="1" applyFont="1" applyBorder="1" applyAlignment="1">
      <alignment wrapText="1"/>
    </xf>
    <xf numFmtId="0" fontId="14" fillId="0" borderId="6" xfId="0" applyFont="1" applyBorder="1" applyAlignment="1">
      <alignment wrapText="1"/>
    </xf>
    <xf numFmtId="0" fontId="6" fillId="0" borderId="0" xfId="0" applyFont="1" applyAlignment="1">
      <alignment horizontal="center"/>
    </xf>
    <xf numFmtId="0" fontId="8" fillId="8" borderId="6" xfId="0" applyFont="1" applyFill="1" applyBorder="1" applyAlignment="1">
      <alignment wrapText="1"/>
    </xf>
    <xf numFmtId="0" fontId="1" fillId="0" borderId="0" xfId="0" applyFont="1" applyAlignment="1"/>
    <xf numFmtId="0" fontId="0" fillId="0" borderId="0" xfId="0" applyAlignment="1"/>
    <xf numFmtId="0" fontId="6" fillId="0" borderId="0" xfId="0" applyFont="1" applyAlignment="1"/>
    <xf numFmtId="0" fontId="12" fillId="0" borderId="2" xfId="0" applyFont="1" applyBorder="1" applyAlignment="1"/>
    <xf numFmtId="0" fontId="12" fillId="0" borderId="3" xfId="0" applyFont="1" applyBorder="1" applyAlignment="1"/>
    <xf numFmtId="0" fontId="12" fillId="8" borderId="7" xfId="0" applyFont="1" applyFill="1" applyBorder="1" applyAlignment="1"/>
    <xf numFmtId="0" fontId="12" fillId="8" borderId="8" xfId="0" applyFont="1" applyFill="1" applyBorder="1" applyAlignment="1"/>
    <xf numFmtId="0" fontId="12" fillId="0" borderId="7" xfId="0" applyFont="1" applyBorder="1" applyAlignment="1"/>
    <xf numFmtId="0" fontId="12" fillId="0" borderId="8" xfId="0" applyFont="1" applyBorder="1" applyAlignment="1"/>
    <xf numFmtId="0" fontId="2"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47625</xdr:colOff>
      <xdr:row>6</xdr:row>
      <xdr:rowOff>133350</xdr:rowOff>
    </xdr:from>
    <xdr:ext cx="4457700" cy="3009900"/>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1685925</xdr:colOff>
      <xdr:row>38</xdr:row>
      <xdr:rowOff>4114800</xdr:rowOff>
    </xdr:from>
    <xdr:ext cx="9772650" cy="3762375"/>
    <xdr:pic>
      <xdr:nvPicPr>
        <xdr:cNvPr id="2" name="image2.png" title="Image">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hyperlink" Target="https://archive.ics.uci.edu/dataset/144/statlog+german+credit+data" TargetMode="External"/><Relationship Id="rId2" Type="http://schemas.openxmlformats.org/officeDocument/2006/relationships/hyperlink" Target="https://www.kaggle.com/c/GiveMeSomeCredit/overview" TargetMode="External"/><Relationship Id="rId1" Type="http://schemas.openxmlformats.org/officeDocument/2006/relationships/hyperlink" Target="https://www.kaggle.com/c/home-credit-default-risk/overview" TargetMode="External"/><Relationship Id="rId4" Type="http://schemas.openxmlformats.org/officeDocument/2006/relationships/hyperlink" Target="https://archive.ics.uci.edu/dataset/143/statlog+australian+credit+approval"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kaggle.com/code/sasakitetsuya/statistical-significance-b-w-f-p-and-c-o/noteboo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00"/>
    <outlinePr summaryBelow="0" summaryRight="0"/>
  </sheetPr>
  <dimension ref="A1:AM44"/>
  <sheetViews>
    <sheetView workbookViewId="0"/>
  </sheetViews>
  <sheetFormatPr defaultColWidth="12.5703125" defaultRowHeight="15.75" customHeight="1"/>
  <cols>
    <col min="2" max="2" width="33" customWidth="1"/>
    <col min="3" max="3" width="16.42578125" customWidth="1"/>
    <col min="4" max="4" width="24.140625" customWidth="1"/>
    <col min="5" max="5" width="15.7109375" customWidth="1"/>
    <col min="6" max="6" width="15.140625" customWidth="1"/>
    <col min="7" max="7" width="19.5703125" customWidth="1"/>
    <col min="8" max="8" width="22.42578125" customWidth="1"/>
    <col min="14" max="14" width="72.28515625" customWidth="1"/>
  </cols>
  <sheetData>
    <row r="1" spans="1:39">
      <c r="A1" s="1" t="s">
        <v>0</v>
      </c>
    </row>
    <row r="2" spans="1:39">
      <c r="A2" s="1"/>
    </row>
    <row r="3" spans="1:39">
      <c r="A3" s="50" t="s">
        <v>1</v>
      </c>
      <c r="B3" s="51"/>
      <c r="C3" s="51"/>
      <c r="D3" s="51"/>
      <c r="E3" s="51"/>
      <c r="F3" s="51"/>
      <c r="G3" s="51"/>
      <c r="H3" s="51"/>
      <c r="O3" s="2"/>
      <c r="P3" s="2"/>
      <c r="Q3" s="2"/>
      <c r="R3" s="2"/>
    </row>
    <row r="4" spans="1:39">
      <c r="A4" s="3" t="s">
        <v>2</v>
      </c>
      <c r="B4" s="4" t="s">
        <v>3</v>
      </c>
      <c r="C4" s="4" t="s">
        <v>4</v>
      </c>
      <c r="D4" s="4" t="s">
        <v>5</v>
      </c>
      <c r="E4" s="4" t="s">
        <v>6</v>
      </c>
      <c r="F4" s="4" t="s">
        <v>7</v>
      </c>
      <c r="G4" s="4" t="s">
        <v>8</v>
      </c>
      <c r="H4" s="5" t="s">
        <v>9</v>
      </c>
      <c r="I4" s="6"/>
      <c r="O4" s="7"/>
      <c r="P4" s="7"/>
      <c r="Q4" s="7"/>
      <c r="R4" s="7"/>
      <c r="S4" s="7"/>
      <c r="T4" s="7"/>
      <c r="U4" s="7"/>
      <c r="V4" s="7"/>
      <c r="W4" s="7"/>
      <c r="X4" s="7"/>
      <c r="Y4" s="7"/>
      <c r="Z4" s="7"/>
      <c r="AA4" s="7"/>
      <c r="AB4" s="7"/>
      <c r="AC4" s="7"/>
      <c r="AD4" s="7"/>
      <c r="AE4" s="7"/>
      <c r="AF4" s="7"/>
      <c r="AG4" s="7"/>
      <c r="AH4" s="7"/>
      <c r="AI4" s="7"/>
      <c r="AJ4" s="7"/>
      <c r="AK4" s="7"/>
      <c r="AL4" s="7"/>
      <c r="AM4" s="7"/>
    </row>
    <row r="5" spans="1:39">
      <c r="A5" s="8" t="s">
        <v>10</v>
      </c>
      <c r="B5" s="9" t="s">
        <v>11</v>
      </c>
      <c r="C5" s="9" t="s">
        <v>11</v>
      </c>
      <c r="D5" s="9" t="s">
        <v>11</v>
      </c>
      <c r="E5" s="9" t="s">
        <v>11</v>
      </c>
      <c r="F5" s="9" t="s">
        <v>11</v>
      </c>
      <c r="G5" s="9" t="s">
        <v>12</v>
      </c>
      <c r="H5" s="10" t="s">
        <v>13</v>
      </c>
      <c r="I5" s="9"/>
    </row>
    <row r="6" spans="1:39">
      <c r="A6" s="8" t="s">
        <v>14</v>
      </c>
      <c r="B6" s="11" t="s">
        <v>15</v>
      </c>
      <c r="C6" s="9" t="s">
        <v>16</v>
      </c>
      <c r="D6" s="11" t="s">
        <v>17</v>
      </c>
      <c r="E6" s="9" t="s">
        <v>18</v>
      </c>
      <c r="F6" s="9" t="s">
        <v>19</v>
      </c>
      <c r="G6" s="12" t="s">
        <v>20</v>
      </c>
      <c r="H6" s="10" t="s">
        <v>21</v>
      </c>
      <c r="I6" s="9"/>
    </row>
    <row r="7" spans="1:39">
      <c r="A7" s="8" t="s">
        <v>22</v>
      </c>
      <c r="B7" s="11" t="s">
        <v>23</v>
      </c>
      <c r="C7" s="9" t="s">
        <v>24</v>
      </c>
      <c r="D7" s="1" t="s">
        <v>15</v>
      </c>
      <c r="E7" s="12" t="s">
        <v>25</v>
      </c>
      <c r="F7" s="9" t="s">
        <v>26</v>
      </c>
      <c r="G7" s="9" t="s">
        <v>27</v>
      </c>
      <c r="H7" s="10" t="s">
        <v>28</v>
      </c>
      <c r="I7" s="9"/>
    </row>
    <row r="8" spans="1:39">
      <c r="A8" s="8" t="s">
        <v>29</v>
      </c>
      <c r="B8" s="11" t="s">
        <v>30</v>
      </c>
      <c r="C8" s="9" t="s">
        <v>31</v>
      </c>
      <c r="D8" s="11" t="s">
        <v>32</v>
      </c>
      <c r="E8" s="9"/>
      <c r="F8" s="9"/>
      <c r="G8" s="9"/>
      <c r="H8" s="13"/>
      <c r="I8" s="9"/>
    </row>
    <row r="9" spans="1:39">
      <c r="A9" s="8" t="s">
        <v>33</v>
      </c>
      <c r="B9" s="11" t="s">
        <v>34</v>
      </c>
      <c r="C9" s="12" t="s">
        <v>35</v>
      </c>
      <c r="D9" s="11" t="s">
        <v>36</v>
      </c>
      <c r="E9" s="9"/>
      <c r="F9" s="9"/>
      <c r="G9" s="9"/>
      <c r="H9" s="13"/>
      <c r="I9" s="9"/>
    </row>
    <row r="10" spans="1:39">
      <c r="A10" s="8" t="s">
        <v>37</v>
      </c>
      <c r="B10" s="11" t="s">
        <v>38</v>
      </c>
      <c r="C10" s="9" t="s">
        <v>39</v>
      </c>
      <c r="D10" s="11" t="s">
        <v>40</v>
      </c>
      <c r="E10" s="9"/>
      <c r="F10" s="9"/>
      <c r="G10" s="9"/>
      <c r="H10" s="13"/>
      <c r="I10" s="9"/>
    </row>
    <row r="11" spans="1:39">
      <c r="A11" s="8" t="s">
        <v>41</v>
      </c>
      <c r="B11" s="11" t="s">
        <v>42</v>
      </c>
      <c r="C11" s="12" t="s">
        <v>43</v>
      </c>
      <c r="D11" s="11" t="s">
        <v>44</v>
      </c>
      <c r="E11" s="9"/>
      <c r="F11" s="9"/>
      <c r="G11" s="9"/>
      <c r="H11" s="13"/>
      <c r="I11" s="9"/>
    </row>
    <row r="12" spans="1:39">
      <c r="A12" s="14"/>
      <c r="B12" s="11" t="s">
        <v>45</v>
      </c>
      <c r="C12" s="9"/>
      <c r="D12" s="11" t="s">
        <v>46</v>
      </c>
      <c r="E12" s="9"/>
      <c r="F12" s="9"/>
      <c r="G12" s="9"/>
      <c r="H12" s="13"/>
      <c r="I12" s="9"/>
    </row>
    <row r="13" spans="1:39">
      <c r="A13" s="14"/>
      <c r="B13" s="11" t="s">
        <v>47</v>
      </c>
      <c r="C13" s="9"/>
      <c r="D13" s="11" t="s">
        <v>48</v>
      </c>
      <c r="E13" s="9"/>
      <c r="F13" s="9"/>
      <c r="G13" s="9"/>
      <c r="H13" s="13"/>
      <c r="I13" s="9"/>
    </row>
    <row r="14" spans="1:39">
      <c r="A14" s="15"/>
      <c r="B14" s="11" t="s">
        <v>49</v>
      </c>
      <c r="C14" s="9"/>
      <c r="D14" s="11" t="s">
        <v>50</v>
      </c>
      <c r="E14" s="9"/>
      <c r="F14" s="9"/>
      <c r="G14" s="9"/>
      <c r="H14" s="13"/>
      <c r="I14" s="9"/>
    </row>
    <row r="15" spans="1:39">
      <c r="A15" s="15"/>
      <c r="B15" s="16" t="s">
        <v>51</v>
      </c>
      <c r="C15" s="9"/>
      <c r="D15" s="11" t="s">
        <v>52</v>
      </c>
      <c r="E15" s="9"/>
      <c r="F15" s="9"/>
      <c r="G15" s="9"/>
      <c r="H15" s="13"/>
      <c r="I15" s="9"/>
    </row>
    <row r="16" spans="1:39">
      <c r="A16" s="15"/>
      <c r="B16" s="11" t="s">
        <v>36</v>
      </c>
      <c r="C16" s="9"/>
      <c r="D16" s="11" t="s">
        <v>53</v>
      </c>
      <c r="E16" s="9"/>
      <c r="F16" s="9"/>
      <c r="G16" s="9"/>
      <c r="H16" s="13"/>
      <c r="I16" s="9"/>
    </row>
    <row r="17" spans="1:39">
      <c r="A17" s="15"/>
      <c r="B17" s="11" t="s">
        <v>54</v>
      </c>
      <c r="C17" s="9"/>
      <c r="D17" s="11" t="s">
        <v>55</v>
      </c>
      <c r="E17" s="9"/>
      <c r="F17" s="17"/>
      <c r="G17" s="9"/>
      <c r="H17" s="13"/>
      <c r="I17" s="9"/>
    </row>
    <row r="18" spans="1:39">
      <c r="A18" s="15"/>
      <c r="B18" s="11" t="s">
        <v>56</v>
      </c>
      <c r="C18" s="9"/>
      <c r="D18" s="11" t="s">
        <v>57</v>
      </c>
      <c r="E18" s="17"/>
      <c r="G18" s="17"/>
      <c r="H18" s="18"/>
      <c r="I18" s="17"/>
      <c r="O18" s="17"/>
      <c r="P18" s="17"/>
      <c r="Q18" s="17"/>
      <c r="R18" s="17"/>
      <c r="S18" s="17"/>
      <c r="T18" s="17"/>
      <c r="U18" s="17"/>
      <c r="V18" s="17"/>
      <c r="W18" s="17"/>
    </row>
    <row r="19" spans="1:39">
      <c r="A19" s="19"/>
      <c r="B19" s="11" t="s">
        <v>58</v>
      </c>
      <c r="D19" s="12" t="s">
        <v>59</v>
      </c>
      <c r="H19" s="20"/>
    </row>
    <row r="20" spans="1:39">
      <c r="A20" s="19"/>
      <c r="B20" s="11" t="s">
        <v>60</v>
      </c>
      <c r="D20" s="11" t="s">
        <v>61</v>
      </c>
      <c r="H20" s="20"/>
    </row>
    <row r="21" spans="1:39">
      <c r="A21" s="19"/>
      <c r="B21" s="11" t="s">
        <v>62</v>
      </c>
      <c r="D21" s="11" t="s">
        <v>63</v>
      </c>
      <c r="H21" s="20"/>
    </row>
    <row r="22" spans="1:39">
      <c r="A22" s="19"/>
      <c r="B22" s="11" t="s">
        <v>64</v>
      </c>
      <c r="D22" s="11" t="s">
        <v>65</v>
      </c>
      <c r="H22" s="20"/>
    </row>
    <row r="23" spans="1:39">
      <c r="A23" s="19"/>
      <c r="B23" s="11" t="s">
        <v>66</v>
      </c>
      <c r="D23" s="11" t="s">
        <v>67</v>
      </c>
      <c r="H23" s="20"/>
    </row>
    <row r="24" spans="1:39">
      <c r="A24" s="19"/>
      <c r="B24" s="11" t="s">
        <v>68</v>
      </c>
      <c r="D24" s="21" t="s">
        <v>69</v>
      </c>
      <c r="H24" s="20"/>
    </row>
    <row r="25" spans="1:39">
      <c r="A25" s="19"/>
      <c r="B25" s="2" t="s">
        <v>70</v>
      </c>
      <c r="D25" s="11" t="s">
        <v>71</v>
      </c>
      <c r="H25" s="20"/>
    </row>
    <row r="26" spans="1:39">
      <c r="A26" s="19"/>
      <c r="D26" s="11" t="s">
        <v>72</v>
      </c>
      <c r="H26" s="20"/>
    </row>
    <row r="27" spans="1:39">
      <c r="A27" s="19"/>
      <c r="D27" s="11" t="s">
        <v>73</v>
      </c>
      <c r="H27" s="20"/>
    </row>
    <row r="28" spans="1:39">
      <c r="A28" s="19"/>
      <c r="D28" s="11" t="s">
        <v>74</v>
      </c>
      <c r="H28" s="20"/>
    </row>
    <row r="29" spans="1:39">
      <c r="A29" s="22"/>
      <c r="B29" s="17"/>
      <c r="C29" s="17"/>
      <c r="D29" s="11" t="s">
        <v>75</v>
      </c>
      <c r="E29" s="17"/>
      <c r="F29" s="17"/>
      <c r="G29" s="17"/>
      <c r="H29" s="18"/>
      <c r="I29" s="17"/>
      <c r="O29" s="17"/>
      <c r="P29" s="17"/>
      <c r="Q29" s="17"/>
      <c r="R29" s="17"/>
      <c r="S29" s="17"/>
      <c r="T29" s="17"/>
      <c r="U29" s="17"/>
      <c r="V29" s="17"/>
      <c r="W29" s="17"/>
      <c r="X29" s="17"/>
      <c r="Y29" s="17"/>
      <c r="Z29" s="17"/>
      <c r="AA29" s="17"/>
      <c r="AB29" s="17"/>
      <c r="AC29" s="17"/>
      <c r="AD29" s="17"/>
      <c r="AE29" s="17" t="s">
        <v>76</v>
      </c>
      <c r="AF29" s="17" t="s">
        <v>77</v>
      </c>
      <c r="AG29" s="17" t="s">
        <v>78</v>
      </c>
      <c r="AH29" s="17" t="s">
        <v>79</v>
      </c>
      <c r="AI29" s="17" t="s">
        <v>80</v>
      </c>
      <c r="AJ29" s="17" t="s">
        <v>81</v>
      </c>
      <c r="AK29" s="17" t="s">
        <v>82</v>
      </c>
      <c r="AL29" s="17" t="s">
        <v>83</v>
      </c>
      <c r="AM29" s="17" t="s">
        <v>84</v>
      </c>
    </row>
    <row r="30" spans="1:39">
      <c r="A30" s="19"/>
      <c r="D30" s="11" t="s">
        <v>85</v>
      </c>
      <c r="H30" s="20"/>
    </row>
    <row r="31" spans="1:39">
      <c r="A31" s="19"/>
      <c r="D31" s="11" t="s">
        <v>86</v>
      </c>
      <c r="H31" s="20"/>
    </row>
    <row r="32" spans="1:39">
      <c r="A32" s="19"/>
      <c r="D32" s="11" t="s">
        <v>87</v>
      </c>
      <c r="H32" s="20"/>
    </row>
    <row r="33" spans="1:8">
      <c r="A33" s="19"/>
      <c r="D33" s="11" t="s">
        <v>88</v>
      </c>
      <c r="H33" s="20"/>
    </row>
    <row r="34" spans="1:8">
      <c r="A34" s="19"/>
      <c r="D34" s="11" t="s">
        <v>89</v>
      </c>
      <c r="H34" s="20"/>
    </row>
    <row r="35" spans="1:8">
      <c r="A35" s="19"/>
      <c r="D35" s="11" t="s">
        <v>90</v>
      </c>
      <c r="H35" s="20"/>
    </row>
    <row r="36" spans="1:8">
      <c r="A36" s="19"/>
      <c r="D36" s="21" t="s">
        <v>76</v>
      </c>
      <c r="H36" s="20"/>
    </row>
    <row r="37" spans="1:8">
      <c r="A37" s="19"/>
      <c r="D37" s="21" t="s">
        <v>77</v>
      </c>
      <c r="H37" s="20"/>
    </row>
    <row r="38" spans="1:8">
      <c r="A38" s="19"/>
      <c r="D38" s="21" t="s">
        <v>78</v>
      </c>
      <c r="H38" s="20"/>
    </row>
    <row r="39" spans="1:8">
      <c r="A39" s="19"/>
      <c r="D39" s="11" t="s">
        <v>79</v>
      </c>
      <c r="H39" s="20"/>
    </row>
    <row r="40" spans="1:8">
      <c r="A40" s="19"/>
      <c r="D40" s="11" t="s">
        <v>80</v>
      </c>
      <c r="H40" s="20"/>
    </row>
    <row r="41" spans="1:8">
      <c r="A41" s="19"/>
      <c r="D41" s="11" t="s">
        <v>81</v>
      </c>
      <c r="H41" s="20"/>
    </row>
    <row r="42" spans="1:8">
      <c r="A42" s="19"/>
      <c r="D42" s="11" t="s">
        <v>82</v>
      </c>
      <c r="H42" s="20"/>
    </row>
    <row r="43" spans="1:8">
      <c r="A43" s="19"/>
      <c r="D43" s="11" t="s">
        <v>83</v>
      </c>
      <c r="H43" s="20"/>
    </row>
    <row r="44" spans="1:8">
      <c r="A44" s="23"/>
      <c r="B44" s="24"/>
      <c r="C44" s="24"/>
      <c r="D44" s="25" t="s">
        <v>84</v>
      </c>
      <c r="E44" s="24"/>
      <c r="F44" s="24"/>
      <c r="G44" s="24"/>
      <c r="H44" s="26"/>
    </row>
  </sheetData>
  <mergeCells count="1">
    <mergeCell ref="A3:H3"/>
  </mergeCell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outlinePr summaryBelow="0" summaryRight="0"/>
  </sheetPr>
  <dimension ref="A1:Z36"/>
  <sheetViews>
    <sheetView tabSelected="1" workbookViewId="0">
      <selection activeCell="A6" sqref="A6:E6"/>
    </sheetView>
  </sheetViews>
  <sheetFormatPr defaultColWidth="12.5703125" defaultRowHeight="15.75" customHeight="1"/>
  <sheetData>
    <row r="1" spans="1:26">
      <c r="A1" s="52" t="s">
        <v>91</v>
      </c>
      <c r="B1" s="51"/>
      <c r="C1" s="51"/>
      <c r="D1" s="51"/>
      <c r="E1" s="51"/>
      <c r="F1" s="51"/>
      <c r="G1" s="51"/>
      <c r="H1" s="51"/>
      <c r="I1" s="51"/>
    </row>
    <row r="2" spans="1:26">
      <c r="A2" s="45" t="s">
        <v>92</v>
      </c>
      <c r="B2" s="51"/>
      <c r="C2" s="51"/>
      <c r="D2" s="51"/>
      <c r="E2" s="51"/>
      <c r="F2" s="51"/>
      <c r="G2" s="51"/>
      <c r="H2" s="51"/>
      <c r="I2" s="51"/>
    </row>
    <row r="3" spans="1:26">
      <c r="A3" s="28"/>
      <c r="B3" s="28"/>
      <c r="C3" s="29"/>
      <c r="D3" s="29"/>
      <c r="E3" s="29"/>
      <c r="F3" s="30"/>
      <c r="G3" s="30"/>
      <c r="H3" s="30"/>
      <c r="I3" s="30"/>
      <c r="J3" s="30"/>
      <c r="K3" s="30"/>
      <c r="L3" s="30"/>
      <c r="M3" s="30"/>
      <c r="N3" s="30"/>
      <c r="O3" s="30"/>
      <c r="P3" s="30"/>
      <c r="Q3" s="30"/>
      <c r="R3" s="30"/>
      <c r="S3" s="30"/>
      <c r="T3" s="30"/>
      <c r="U3" s="30"/>
      <c r="V3" s="30"/>
      <c r="W3" s="30"/>
      <c r="X3" s="30"/>
      <c r="Y3" s="30"/>
      <c r="Z3" s="30"/>
    </row>
    <row r="5" spans="1:26">
      <c r="A5" s="43" t="s">
        <v>93</v>
      </c>
      <c r="B5" s="53"/>
      <c r="C5" s="53"/>
      <c r="D5" s="53"/>
      <c r="E5" s="54"/>
    </row>
    <row r="6" spans="1:26" ht="200.25" customHeight="1">
      <c r="A6" s="49" t="s">
        <v>94</v>
      </c>
      <c r="B6" s="55"/>
      <c r="C6" s="55"/>
      <c r="D6" s="55"/>
      <c r="E6" s="56"/>
    </row>
    <row r="7" spans="1:26">
      <c r="J7" s="2" t="s">
        <v>95</v>
      </c>
    </row>
    <row r="9" spans="1:26">
      <c r="J9" s="2" t="s">
        <v>96</v>
      </c>
      <c r="K9" s="2" t="s">
        <v>97</v>
      </c>
    </row>
    <row r="10" spans="1:26">
      <c r="J10" s="2" t="s">
        <v>98</v>
      </c>
      <c r="K10" s="2" t="s">
        <v>99</v>
      </c>
    </row>
    <row r="11" spans="1:26">
      <c r="A11" s="9"/>
      <c r="B11" s="9"/>
      <c r="J11" s="2" t="s">
        <v>100</v>
      </c>
      <c r="K11" s="2" t="s">
        <v>101</v>
      </c>
    </row>
    <row r="12" spans="1:26">
      <c r="J12" s="2" t="s">
        <v>102</v>
      </c>
      <c r="K12" s="2" t="s">
        <v>103</v>
      </c>
    </row>
    <row r="23" spans="1:5">
      <c r="A23" s="43" t="s">
        <v>104</v>
      </c>
      <c r="B23" s="53"/>
      <c r="C23" s="53"/>
      <c r="D23" s="53"/>
      <c r="E23" s="54"/>
    </row>
    <row r="24" spans="1:5" ht="136.5" customHeight="1">
      <c r="A24" s="46" t="s">
        <v>105</v>
      </c>
      <c r="B24" s="57"/>
      <c r="C24" s="57"/>
      <c r="D24" s="57"/>
      <c r="E24" s="58"/>
    </row>
    <row r="26" spans="1:5">
      <c r="A26" s="43" t="s">
        <v>106</v>
      </c>
      <c r="B26" s="53"/>
      <c r="C26" s="53"/>
      <c r="D26" s="53"/>
      <c r="E26" s="54"/>
    </row>
    <row r="27" spans="1:5">
      <c r="A27" s="42" t="s">
        <v>107</v>
      </c>
      <c r="B27" s="57"/>
      <c r="C27" s="57"/>
      <c r="D27" s="57"/>
      <c r="E27" s="58"/>
    </row>
    <row r="29" spans="1:5">
      <c r="A29" s="43" t="s">
        <v>108</v>
      </c>
      <c r="B29" s="53"/>
      <c r="C29" s="53"/>
      <c r="D29" s="53"/>
      <c r="E29" s="54"/>
    </row>
    <row r="30" spans="1:5">
      <c r="A30" s="44" t="s">
        <v>109</v>
      </c>
      <c r="B30" s="57"/>
      <c r="C30" s="57"/>
      <c r="D30" s="57"/>
      <c r="E30" s="58"/>
    </row>
    <row r="31" spans="1:5">
      <c r="A31" s="9"/>
      <c r="B31" s="9"/>
      <c r="C31" s="9"/>
    </row>
    <row r="32" spans="1:5">
      <c r="A32" s="43" t="s">
        <v>110</v>
      </c>
      <c r="B32" s="53"/>
      <c r="C32" s="53"/>
      <c r="D32" s="53"/>
      <c r="E32" s="54"/>
    </row>
    <row r="33" spans="1:5">
      <c r="A33" s="42" t="s">
        <v>111</v>
      </c>
      <c r="B33" s="57"/>
      <c r="C33" s="57"/>
      <c r="D33" s="57"/>
      <c r="E33" s="58"/>
    </row>
    <row r="35" spans="1:5">
      <c r="A35" s="43" t="s">
        <v>112</v>
      </c>
      <c r="B35" s="53"/>
      <c r="C35" s="53"/>
      <c r="D35" s="53"/>
      <c r="E35" s="54"/>
    </row>
    <row r="36" spans="1:5">
      <c r="A36" s="42" t="s">
        <v>113</v>
      </c>
      <c r="B36" s="57"/>
      <c r="C36" s="57"/>
      <c r="D36" s="57"/>
      <c r="E36" s="58"/>
    </row>
  </sheetData>
  <mergeCells count="14">
    <mergeCell ref="A35:E35"/>
    <mergeCell ref="A36:E36"/>
    <mergeCell ref="A1:I1"/>
    <mergeCell ref="A2:I2"/>
    <mergeCell ref="A5:E5"/>
    <mergeCell ref="A6:E6"/>
    <mergeCell ref="A23:E23"/>
    <mergeCell ref="A24:E24"/>
    <mergeCell ref="A26:E26"/>
    <mergeCell ref="A27:E27"/>
    <mergeCell ref="A29:E29"/>
    <mergeCell ref="A30:E30"/>
    <mergeCell ref="A32:E32"/>
    <mergeCell ref="A33:E33"/>
  </mergeCells>
  <hyperlinks>
    <hyperlink ref="A30" location="'PD Methology'!A1" display="See here" xr:uid="{00000000-0004-0000-0100-000000000000}"/>
  </hyperlinks>
  <pageMargins left="0" right="0" top="0" bottom="0" header="0" footer="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FF00"/>
    <outlinePr summaryBelow="0" summaryRight="0"/>
  </sheetPr>
  <dimension ref="A2:I7"/>
  <sheetViews>
    <sheetView workbookViewId="0"/>
  </sheetViews>
  <sheetFormatPr defaultColWidth="12.5703125" defaultRowHeight="15.75" customHeight="1"/>
  <sheetData>
    <row r="2" spans="1:9">
      <c r="A2" s="59" t="s">
        <v>114</v>
      </c>
      <c r="B2" s="51"/>
      <c r="C2" s="51"/>
      <c r="D2" s="51"/>
      <c r="E2" s="51"/>
      <c r="F2" s="51"/>
      <c r="G2" s="51"/>
      <c r="H2" s="51"/>
      <c r="I2" s="51"/>
    </row>
    <row r="3" spans="1:9">
      <c r="A3" s="45" t="s">
        <v>115</v>
      </c>
      <c r="B3" s="51"/>
      <c r="C3" s="51"/>
      <c r="D3" s="51"/>
      <c r="E3" s="51"/>
      <c r="F3" s="51"/>
      <c r="G3" s="51"/>
      <c r="H3" s="51"/>
      <c r="I3" s="51"/>
    </row>
    <row r="6" spans="1:9">
      <c r="A6" s="2" t="s">
        <v>116</v>
      </c>
    </row>
    <row r="7" spans="1:9">
      <c r="A7" s="2" t="s">
        <v>117</v>
      </c>
    </row>
  </sheetData>
  <mergeCells count="2">
    <mergeCell ref="A2:I2"/>
    <mergeCell ref="A3:I3"/>
  </mergeCell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FF00"/>
    <outlinePr summaryBelow="0" summaryRight="0"/>
  </sheetPr>
  <dimension ref="C7:D7"/>
  <sheetViews>
    <sheetView workbookViewId="0"/>
  </sheetViews>
  <sheetFormatPr defaultColWidth="12.5703125" defaultRowHeight="15.75" customHeight="1"/>
  <sheetData>
    <row r="7" spans="3:4">
      <c r="C7" s="2" t="s">
        <v>118</v>
      </c>
      <c r="D7" s="2" t="s">
        <v>119</v>
      </c>
    </row>
  </sheetData>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3:F25"/>
  <sheetViews>
    <sheetView workbookViewId="0"/>
  </sheetViews>
  <sheetFormatPr defaultColWidth="12.5703125" defaultRowHeight="15.75" customHeight="1"/>
  <sheetData>
    <row r="3" spans="1:6">
      <c r="A3" s="43" t="s">
        <v>120</v>
      </c>
      <c r="B3" s="53"/>
      <c r="C3" s="53"/>
      <c r="D3" s="53"/>
      <c r="E3" s="54"/>
    </row>
    <row r="4" spans="1:6">
      <c r="A4" s="47" t="s">
        <v>121</v>
      </c>
      <c r="B4" s="57"/>
      <c r="C4" s="57"/>
      <c r="D4" s="57"/>
      <c r="E4" s="58"/>
    </row>
    <row r="8" spans="1:6">
      <c r="A8" s="31"/>
      <c r="B8" s="31"/>
      <c r="C8" s="31"/>
      <c r="D8" s="31"/>
      <c r="E8" s="31"/>
      <c r="F8" s="31"/>
    </row>
    <row r="9" spans="1:6">
      <c r="A9" s="48" t="s">
        <v>122</v>
      </c>
      <c r="B9" s="51"/>
      <c r="C9" s="51"/>
      <c r="D9" s="51"/>
      <c r="E9" s="51"/>
      <c r="F9" s="51"/>
    </row>
    <row r="10" spans="1:6">
      <c r="B10" s="2" t="s">
        <v>123</v>
      </c>
      <c r="D10" s="2" t="s">
        <v>124</v>
      </c>
    </row>
    <row r="12" spans="1:6">
      <c r="D12" s="2" t="s">
        <v>125</v>
      </c>
    </row>
    <row r="13" spans="1:6">
      <c r="B13" s="2" t="s">
        <v>126</v>
      </c>
      <c r="D13" s="2" t="s">
        <v>127</v>
      </c>
      <c r="F13" s="2" t="s">
        <v>128</v>
      </c>
    </row>
    <row r="14" spans="1:6">
      <c r="B14" s="2" t="s">
        <v>126</v>
      </c>
      <c r="D14" s="2" t="s">
        <v>129</v>
      </c>
      <c r="F14" s="2" t="s">
        <v>130</v>
      </c>
    </row>
    <row r="15" spans="1:6">
      <c r="B15" s="2" t="s">
        <v>126</v>
      </c>
      <c r="D15" s="2" t="s">
        <v>131</v>
      </c>
      <c r="F15" s="2" t="s">
        <v>132</v>
      </c>
    </row>
    <row r="17" spans="2:5">
      <c r="D17" s="2" t="s">
        <v>133</v>
      </c>
    </row>
    <row r="18" spans="2:5">
      <c r="B18" s="2" t="s">
        <v>126</v>
      </c>
      <c r="D18" s="2" t="s">
        <v>134</v>
      </c>
      <c r="E18" s="2" t="s">
        <v>135</v>
      </c>
    </row>
    <row r="19" spans="2:5">
      <c r="B19" s="2" t="s">
        <v>126</v>
      </c>
      <c r="D19" s="2" t="s">
        <v>136</v>
      </c>
      <c r="E19" s="2" t="s">
        <v>137</v>
      </c>
    </row>
    <row r="20" spans="2:5">
      <c r="B20" s="2" t="s">
        <v>126</v>
      </c>
      <c r="D20" s="2" t="s">
        <v>138</v>
      </c>
      <c r="E20" s="2" t="s">
        <v>139</v>
      </c>
    </row>
    <row r="21" spans="2:5">
      <c r="D21" s="7" t="s">
        <v>140</v>
      </c>
    </row>
    <row r="22" spans="2:5">
      <c r="B22" s="2" t="s">
        <v>126</v>
      </c>
      <c r="D22" s="2" t="s">
        <v>141</v>
      </c>
    </row>
    <row r="23" spans="2:5">
      <c r="B23" s="2" t="s">
        <v>126</v>
      </c>
      <c r="D23" s="2" t="s">
        <v>142</v>
      </c>
    </row>
    <row r="24" spans="2:5">
      <c r="B24" s="2" t="s">
        <v>126</v>
      </c>
      <c r="D24" s="2" t="s">
        <v>143</v>
      </c>
    </row>
    <row r="25" spans="2:5">
      <c r="B25" s="2" t="s">
        <v>126</v>
      </c>
      <c r="D25" s="2" t="s">
        <v>144</v>
      </c>
    </row>
  </sheetData>
  <mergeCells count="3">
    <mergeCell ref="A3:E3"/>
    <mergeCell ref="A4:E4"/>
    <mergeCell ref="A9:F9"/>
  </mergeCell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E599"/>
    <outlinePr summaryBelow="0" summaryRight="0"/>
  </sheetPr>
  <dimension ref="A1:P1007"/>
  <sheetViews>
    <sheetView workbookViewId="0"/>
  </sheetViews>
  <sheetFormatPr defaultColWidth="12.5703125" defaultRowHeight="15.75" customHeight="1"/>
  <cols>
    <col min="1" max="1" width="33.28515625" customWidth="1"/>
    <col min="2" max="2" width="28.42578125" customWidth="1"/>
    <col min="3" max="3" width="18.5703125" style="27" customWidth="1"/>
    <col min="4" max="4" width="22.7109375" customWidth="1"/>
    <col min="5" max="5" width="13.140625" style="27" customWidth="1"/>
    <col min="6" max="6" width="18.7109375" customWidth="1"/>
    <col min="7" max="7" width="14.7109375" style="27" customWidth="1"/>
    <col min="8" max="9" width="23" style="27" customWidth="1"/>
    <col min="10" max="10" width="26.28515625" style="27" customWidth="1"/>
    <col min="11" max="11" width="30.85546875" customWidth="1"/>
    <col min="12" max="12" width="30.85546875" style="27" customWidth="1"/>
    <col min="13" max="16" width="12.5703125" style="27"/>
  </cols>
  <sheetData>
    <row r="1" spans="1:13">
      <c r="A1" s="27" t="s">
        <v>145</v>
      </c>
      <c r="B1" s="27"/>
      <c r="D1" s="27"/>
      <c r="F1" s="27"/>
      <c r="K1" s="27"/>
    </row>
    <row r="2" spans="1:13">
      <c r="A2" s="32" t="s">
        <v>146</v>
      </c>
      <c r="C2" s="33" t="s">
        <v>147</v>
      </c>
      <c r="D2" s="32" t="s">
        <v>148</v>
      </c>
      <c r="E2" s="33" t="s">
        <v>149</v>
      </c>
      <c r="F2" s="33" t="s">
        <v>150</v>
      </c>
      <c r="G2" s="34" t="s">
        <v>151</v>
      </c>
      <c r="H2" s="34" t="s">
        <v>152</v>
      </c>
      <c r="I2" s="34" t="s">
        <v>153</v>
      </c>
      <c r="J2" s="34" t="s">
        <v>154</v>
      </c>
      <c r="K2" s="34" t="s">
        <v>155</v>
      </c>
      <c r="L2" s="34" t="s">
        <v>156</v>
      </c>
      <c r="M2" s="27" t="s">
        <v>157</v>
      </c>
    </row>
    <row r="3" spans="1:13">
      <c r="A3" s="34" t="s">
        <v>158</v>
      </c>
      <c r="C3" s="27" t="s">
        <v>159</v>
      </c>
      <c r="D3" s="27"/>
      <c r="F3" s="27"/>
      <c r="G3" s="27" t="s">
        <v>160</v>
      </c>
      <c r="K3" s="27"/>
      <c r="L3" s="27" t="s">
        <v>161</v>
      </c>
    </row>
    <row r="4" spans="1:13">
      <c r="A4" s="27" t="s">
        <v>162</v>
      </c>
      <c r="D4" s="27"/>
      <c r="F4" s="27" t="s">
        <v>163</v>
      </c>
      <c r="G4" s="27" t="s">
        <v>164</v>
      </c>
      <c r="K4" s="27"/>
      <c r="L4" s="27" t="s">
        <v>165</v>
      </c>
    </row>
    <row r="5" spans="1:13">
      <c r="A5" s="27" t="s">
        <v>166</v>
      </c>
      <c r="D5" s="27"/>
      <c r="F5" s="27" t="s">
        <v>167</v>
      </c>
      <c r="G5" s="27" t="s">
        <v>168</v>
      </c>
      <c r="K5" s="27"/>
      <c r="L5" s="27" t="s">
        <v>169</v>
      </c>
    </row>
    <row r="6" spans="1:13">
      <c r="A6" s="27"/>
      <c r="D6" s="27"/>
      <c r="F6" s="27"/>
      <c r="G6" s="27" t="s">
        <v>170</v>
      </c>
      <c r="K6" s="27"/>
      <c r="L6" s="27" t="s">
        <v>171</v>
      </c>
    </row>
    <row r="7" spans="1:13">
      <c r="A7" s="27"/>
      <c r="D7" s="27"/>
      <c r="F7" s="27"/>
      <c r="G7" s="27" t="s">
        <v>172</v>
      </c>
      <c r="K7" s="27"/>
      <c r="L7" s="27" t="s">
        <v>173</v>
      </c>
    </row>
    <row r="8" spans="1:13">
      <c r="A8" s="27"/>
      <c r="D8" s="27"/>
      <c r="F8" s="27"/>
      <c r="G8" s="27" t="s">
        <v>174</v>
      </c>
      <c r="K8" s="27"/>
      <c r="L8" s="27" t="s">
        <v>175</v>
      </c>
    </row>
    <row r="9" spans="1:13">
      <c r="A9" s="27"/>
      <c r="D9" s="27"/>
      <c r="F9" s="27"/>
      <c r="K9" s="27"/>
      <c r="L9" s="27" t="s">
        <v>176</v>
      </c>
    </row>
    <row r="10" spans="1:13">
      <c r="A10" s="27"/>
      <c r="D10" s="27"/>
      <c r="F10" s="27"/>
      <c r="K10" s="27"/>
      <c r="L10" s="27" t="s">
        <v>177</v>
      </c>
    </row>
    <row r="11" spans="1:13">
      <c r="A11" s="27" t="s">
        <v>178</v>
      </c>
      <c r="D11" s="27"/>
      <c r="F11" s="27"/>
      <c r="K11" s="27"/>
      <c r="L11" s="27" t="s">
        <v>179</v>
      </c>
    </row>
    <row r="12" spans="1:13">
      <c r="A12" s="27" t="s">
        <v>180</v>
      </c>
      <c r="D12" s="27" t="s">
        <v>181</v>
      </c>
      <c r="E12" s="27" t="s">
        <v>182</v>
      </c>
      <c r="F12" s="27" t="s">
        <v>183</v>
      </c>
      <c r="I12" s="35" t="s">
        <v>184</v>
      </c>
      <c r="J12" s="35" t="s">
        <v>185</v>
      </c>
      <c r="K12" s="27" t="s">
        <v>186</v>
      </c>
      <c r="L12" s="27" t="s">
        <v>187</v>
      </c>
    </row>
    <row r="13" spans="1:13">
      <c r="A13" s="27"/>
      <c r="B13" s="27"/>
      <c r="D13" s="27"/>
      <c r="F13" s="27"/>
      <c r="K13" s="27"/>
      <c r="L13" s="27" t="s">
        <v>188</v>
      </c>
    </row>
    <row r="14" spans="1:13">
      <c r="A14" s="27"/>
      <c r="B14" s="27"/>
      <c r="D14" s="27"/>
      <c r="F14" s="27"/>
      <c r="K14" s="27"/>
      <c r="L14" s="27" t="s">
        <v>189</v>
      </c>
    </row>
    <row r="15" spans="1:13">
      <c r="A15" s="27"/>
      <c r="B15" s="27"/>
      <c r="D15" s="27"/>
      <c r="F15" s="27"/>
      <c r="K15" s="27"/>
    </row>
    <row r="16" spans="1:13">
      <c r="A16" s="27"/>
      <c r="B16" s="27"/>
      <c r="D16" s="27"/>
      <c r="F16" s="27"/>
      <c r="K16" s="27"/>
      <c r="L16" s="27" t="s">
        <v>190</v>
      </c>
    </row>
    <row r="17" spans="1:12">
      <c r="A17" s="27"/>
      <c r="B17" s="27"/>
      <c r="D17" s="27"/>
      <c r="F17" s="27"/>
      <c r="K17" s="27"/>
      <c r="L17" s="27" t="s">
        <v>191</v>
      </c>
    </row>
    <row r="18" spans="1:12">
      <c r="B18" s="27"/>
      <c r="D18" s="27"/>
      <c r="F18" s="27"/>
      <c r="K18" s="27"/>
      <c r="L18" s="27" t="s">
        <v>192</v>
      </c>
    </row>
    <row r="19" spans="1:12">
      <c r="A19" s="27"/>
      <c r="B19" s="27"/>
      <c r="D19" s="27"/>
      <c r="F19" s="27"/>
      <c r="K19" s="2"/>
      <c r="L19" s="2" t="s">
        <v>193</v>
      </c>
    </row>
    <row r="20" spans="1:12">
      <c r="A20" s="27"/>
      <c r="B20" s="27"/>
      <c r="D20" s="27"/>
      <c r="F20" s="27"/>
      <c r="K20" s="27"/>
    </row>
    <row r="21" spans="1:12">
      <c r="A21" s="27"/>
      <c r="B21" s="27"/>
      <c r="D21" s="27"/>
      <c r="F21" s="27"/>
      <c r="K21" s="27"/>
    </row>
    <row r="22" spans="1:12">
      <c r="A22" s="27"/>
      <c r="B22" s="27"/>
      <c r="D22" s="27"/>
      <c r="F22" s="27"/>
      <c r="K22" s="27"/>
    </row>
    <row r="23" spans="1:12">
      <c r="A23" s="27"/>
      <c r="B23" s="27"/>
      <c r="D23" s="27"/>
      <c r="F23" s="27"/>
      <c r="K23" s="27"/>
    </row>
    <row r="24" spans="1:12">
      <c r="A24" s="34" t="s">
        <v>194</v>
      </c>
      <c r="B24" s="27"/>
      <c r="D24" s="27"/>
      <c r="F24" s="27"/>
      <c r="K24" s="27"/>
      <c r="L24" s="27" t="s">
        <v>195</v>
      </c>
    </row>
    <row r="25" spans="1:12">
      <c r="A25" s="34" t="s">
        <v>196</v>
      </c>
      <c r="B25" s="27" t="s">
        <v>197</v>
      </c>
      <c r="C25" s="27" t="s">
        <v>198</v>
      </c>
      <c r="D25" s="27" t="s">
        <v>199</v>
      </c>
      <c r="E25" s="27" t="s">
        <v>200</v>
      </c>
      <c r="F25" s="27" t="s">
        <v>201</v>
      </c>
      <c r="K25" s="27"/>
    </row>
    <row r="26" spans="1:12">
      <c r="A26" s="27" t="s">
        <v>202</v>
      </c>
      <c r="B26" s="27" t="s">
        <v>203</v>
      </c>
      <c r="D26" s="27"/>
      <c r="F26" s="27"/>
      <c r="K26" s="27"/>
    </row>
    <row r="27" spans="1:12" ht="14.25" customHeight="1">
      <c r="A27" s="27"/>
      <c r="B27" s="27"/>
      <c r="D27" s="27"/>
      <c r="F27" s="27"/>
      <c r="K27" s="27"/>
    </row>
    <row r="28" spans="1:12" ht="14.25" customHeight="1">
      <c r="A28" s="27"/>
      <c r="B28" s="27"/>
      <c r="D28" s="27"/>
      <c r="F28" s="27"/>
      <c r="K28" s="27"/>
    </row>
    <row r="29" spans="1:12" ht="14.25" customHeight="1">
      <c r="A29" s="27"/>
      <c r="B29" s="27"/>
      <c r="D29" s="27"/>
      <c r="F29" s="27"/>
      <c r="K29" s="27"/>
    </row>
    <row r="30" spans="1:12">
      <c r="A30" s="27"/>
      <c r="B30" s="27"/>
      <c r="D30" s="27"/>
      <c r="F30" s="27"/>
      <c r="K30" s="27"/>
    </row>
    <row r="31" spans="1:12">
      <c r="A31" s="27"/>
      <c r="B31" s="27"/>
      <c r="D31" s="27"/>
      <c r="F31" s="27"/>
      <c r="K31" s="27"/>
    </row>
    <row r="32" spans="1:12">
      <c r="A32" s="27" t="s">
        <v>204</v>
      </c>
      <c r="B32" s="27"/>
      <c r="D32" s="27"/>
      <c r="F32" s="27"/>
      <c r="K32" s="27"/>
    </row>
    <row r="33" spans="1:11">
      <c r="A33" s="27" t="s">
        <v>205</v>
      </c>
      <c r="B33" s="27" t="s">
        <v>206</v>
      </c>
      <c r="D33" s="27"/>
      <c r="K33" s="27"/>
    </row>
    <row r="34" spans="1:11">
      <c r="A34" s="27"/>
      <c r="B34" s="27"/>
      <c r="F34" s="27"/>
      <c r="K34" s="27"/>
    </row>
    <row r="35" spans="1:11">
      <c r="A35" s="27"/>
      <c r="B35" s="27"/>
      <c r="F35" s="27"/>
      <c r="K35" s="27"/>
    </row>
    <row r="36" spans="1:11">
      <c r="A36" s="27"/>
      <c r="B36" s="27"/>
      <c r="F36" s="27"/>
      <c r="K36" s="27"/>
    </row>
    <row r="37" spans="1:11">
      <c r="A37" s="27"/>
      <c r="B37" s="27"/>
      <c r="F37" s="27"/>
      <c r="K37" s="27"/>
    </row>
    <row r="38" spans="1:11">
      <c r="A38" s="27" t="s">
        <v>207</v>
      </c>
      <c r="B38" s="27"/>
      <c r="F38" s="27"/>
      <c r="K38" s="27"/>
    </row>
    <row r="39" spans="1:11">
      <c r="A39" s="27" t="s">
        <v>208</v>
      </c>
      <c r="B39" s="27"/>
      <c r="D39" s="27"/>
      <c r="F39" s="27"/>
      <c r="K39" s="27"/>
    </row>
    <row r="40" spans="1:11">
      <c r="A40" s="27"/>
      <c r="B40" s="27" t="s">
        <v>209</v>
      </c>
      <c r="C40" s="27">
        <v>7000</v>
      </c>
      <c r="D40" s="27"/>
      <c r="F40" s="27"/>
      <c r="K40" s="27"/>
    </row>
    <row r="41" spans="1:11">
      <c r="A41" s="27"/>
      <c r="B41" s="27" t="s">
        <v>210</v>
      </c>
      <c r="C41" s="27">
        <v>5000</v>
      </c>
      <c r="D41" s="27"/>
      <c r="F41" s="27"/>
      <c r="K41" s="27"/>
    </row>
    <row r="42" spans="1:11">
      <c r="A42" s="27"/>
      <c r="B42" s="27"/>
      <c r="D42" s="27"/>
      <c r="F42" s="27"/>
      <c r="K42" s="27"/>
    </row>
    <row r="43" spans="1:11">
      <c r="A43" s="27"/>
      <c r="B43" s="27" t="s">
        <v>211</v>
      </c>
      <c r="C43" s="27">
        <f>C40-C41</f>
        <v>2000</v>
      </c>
      <c r="D43" s="27"/>
      <c r="F43" s="27"/>
      <c r="K43" s="27"/>
    </row>
    <row r="44" spans="1:11">
      <c r="A44" s="27"/>
      <c r="B44" s="27" t="s">
        <v>212</v>
      </c>
      <c r="C44" s="27">
        <f>-C43</f>
        <v>-2000</v>
      </c>
      <c r="D44" s="27"/>
      <c r="F44" s="27"/>
      <c r="K44" s="27"/>
    </row>
    <row r="45" spans="1:11">
      <c r="A45" s="27"/>
      <c r="B45" s="27"/>
      <c r="D45" s="27"/>
      <c r="F45" s="27"/>
      <c r="K45" s="27"/>
    </row>
    <row r="46" spans="1:11">
      <c r="A46" s="27"/>
      <c r="B46" s="27"/>
      <c r="D46" s="27"/>
      <c r="F46" s="27"/>
      <c r="K46" s="27"/>
    </row>
    <row r="47" spans="1:11">
      <c r="A47" s="27"/>
      <c r="B47" s="27"/>
      <c r="D47" s="27"/>
      <c r="F47" s="27"/>
      <c r="K47" s="27"/>
    </row>
    <row r="48" spans="1:11">
      <c r="A48" s="27"/>
      <c r="B48" s="27"/>
      <c r="D48" s="27"/>
      <c r="F48" s="27"/>
      <c r="K48" s="27"/>
    </row>
    <row r="49" spans="1:11">
      <c r="A49" s="27"/>
      <c r="B49" s="27"/>
      <c r="D49" s="27"/>
      <c r="F49" s="27"/>
      <c r="K49" s="27"/>
    </row>
    <row r="50" spans="1:11">
      <c r="A50" s="27"/>
      <c r="B50" s="27"/>
      <c r="D50" s="27"/>
      <c r="F50" s="27"/>
      <c r="K50" s="27"/>
    </row>
    <row r="51" spans="1:11">
      <c r="A51" s="27"/>
      <c r="B51" s="27"/>
      <c r="D51" s="27"/>
      <c r="F51" s="27"/>
      <c r="K51" s="27"/>
    </row>
    <row r="52" spans="1:11">
      <c r="A52" s="27"/>
      <c r="B52" s="27"/>
      <c r="D52" s="27"/>
      <c r="F52" s="27"/>
      <c r="K52" s="27"/>
    </row>
    <row r="53" spans="1:11">
      <c r="A53" s="27"/>
      <c r="B53" s="27"/>
      <c r="D53" s="27"/>
      <c r="F53" s="27"/>
      <c r="K53" s="27"/>
    </row>
    <row r="54" spans="1:11">
      <c r="A54" s="27"/>
      <c r="B54" s="27"/>
      <c r="D54" s="27"/>
      <c r="F54" s="27"/>
      <c r="K54" s="27"/>
    </row>
    <row r="55" spans="1:11">
      <c r="A55" s="27"/>
      <c r="B55" s="27"/>
      <c r="D55" s="27"/>
      <c r="F55" s="27"/>
      <c r="K55" s="27"/>
    </row>
    <row r="56" spans="1:11">
      <c r="A56" s="27"/>
      <c r="B56" s="27"/>
      <c r="D56" s="27"/>
      <c r="F56" s="27"/>
      <c r="K56" s="27"/>
    </row>
    <row r="57" spans="1:11">
      <c r="A57" s="27"/>
      <c r="B57" s="27"/>
      <c r="D57" s="27"/>
      <c r="F57" s="27"/>
      <c r="K57" s="27"/>
    </row>
    <row r="58" spans="1:11">
      <c r="A58" s="27"/>
      <c r="B58" s="27"/>
      <c r="D58" s="27"/>
      <c r="F58" s="27"/>
      <c r="K58" s="27"/>
    </row>
    <row r="59" spans="1:11">
      <c r="A59" s="27"/>
      <c r="B59" s="27"/>
      <c r="D59" s="27"/>
      <c r="F59" s="27"/>
      <c r="K59" s="27"/>
    </row>
    <row r="60" spans="1:11">
      <c r="A60" s="27"/>
      <c r="B60" s="27"/>
      <c r="D60" s="27"/>
      <c r="F60" s="27"/>
      <c r="K60" s="27"/>
    </row>
    <row r="61" spans="1:11">
      <c r="A61" s="27"/>
      <c r="B61" s="27"/>
      <c r="D61" s="27"/>
      <c r="F61" s="27"/>
      <c r="K61" s="27"/>
    </row>
    <row r="62" spans="1:11">
      <c r="A62" s="27"/>
      <c r="B62" s="27"/>
      <c r="D62" s="27"/>
      <c r="F62" s="27"/>
      <c r="K62" s="27"/>
    </row>
    <row r="63" spans="1:11">
      <c r="A63" s="27"/>
      <c r="B63" s="27"/>
      <c r="D63" s="27"/>
      <c r="F63" s="27"/>
      <c r="K63" s="27"/>
    </row>
    <row r="64" spans="1:11">
      <c r="A64" s="27"/>
      <c r="B64" s="27"/>
      <c r="D64" s="27"/>
      <c r="F64" s="27"/>
      <c r="K64" s="27"/>
    </row>
    <row r="65" spans="1:11">
      <c r="A65" s="27"/>
      <c r="B65" s="27"/>
      <c r="D65" s="27"/>
      <c r="F65" s="27"/>
      <c r="K65" s="27"/>
    </row>
    <row r="66" spans="1:11">
      <c r="A66" s="27"/>
      <c r="B66" s="27"/>
      <c r="D66" s="27"/>
      <c r="F66" s="27"/>
      <c r="K66" s="27"/>
    </row>
    <row r="67" spans="1:11">
      <c r="A67" s="27"/>
      <c r="B67" s="27"/>
      <c r="D67" s="27"/>
      <c r="F67" s="27"/>
      <c r="K67" s="27"/>
    </row>
    <row r="68" spans="1:11">
      <c r="A68" s="27"/>
      <c r="B68" s="27"/>
      <c r="D68" s="27"/>
      <c r="F68" s="27"/>
      <c r="K68" s="27"/>
    </row>
    <row r="69" spans="1:11">
      <c r="A69" s="27"/>
      <c r="B69" s="27"/>
      <c r="D69" s="27"/>
      <c r="F69" s="27"/>
      <c r="K69" s="27"/>
    </row>
    <row r="70" spans="1:11">
      <c r="A70" s="27"/>
      <c r="B70" s="27"/>
      <c r="D70" s="27"/>
      <c r="F70" s="27"/>
      <c r="K70" s="27"/>
    </row>
    <row r="71" spans="1:11">
      <c r="A71" s="27"/>
      <c r="B71" s="27"/>
      <c r="D71" s="27"/>
      <c r="F71" s="27"/>
      <c r="K71" s="27"/>
    </row>
    <row r="72" spans="1:11">
      <c r="A72" s="27"/>
      <c r="B72" s="27"/>
      <c r="D72" s="27"/>
      <c r="F72" s="27"/>
      <c r="K72" s="27"/>
    </row>
    <row r="73" spans="1:11">
      <c r="A73" s="27"/>
      <c r="B73" s="27"/>
      <c r="D73" s="27"/>
      <c r="F73" s="27"/>
      <c r="K73" s="27"/>
    </row>
    <row r="74" spans="1:11">
      <c r="A74" s="27"/>
      <c r="B74" s="27"/>
      <c r="D74" s="27"/>
      <c r="F74" s="27"/>
      <c r="K74" s="27"/>
    </row>
    <row r="75" spans="1:11">
      <c r="A75" s="27"/>
      <c r="B75" s="27"/>
      <c r="D75" s="27"/>
      <c r="F75" s="27"/>
      <c r="K75" s="27"/>
    </row>
    <row r="76" spans="1:11">
      <c r="A76" s="27"/>
      <c r="B76" s="27"/>
      <c r="D76" s="27"/>
      <c r="F76" s="27"/>
      <c r="K76" s="27"/>
    </row>
    <row r="77" spans="1:11">
      <c r="A77" s="27"/>
      <c r="B77" s="27"/>
      <c r="D77" s="27"/>
      <c r="F77" s="27"/>
      <c r="K77" s="27"/>
    </row>
    <row r="78" spans="1:11">
      <c r="A78" s="27"/>
      <c r="B78" s="27"/>
      <c r="D78" s="27"/>
      <c r="F78" s="27"/>
      <c r="K78" s="27"/>
    </row>
    <row r="79" spans="1:11">
      <c r="A79" s="27"/>
      <c r="B79" s="27"/>
      <c r="D79" s="27"/>
      <c r="F79" s="27"/>
      <c r="K79" s="27"/>
    </row>
    <row r="80" spans="1:11">
      <c r="A80" s="27"/>
      <c r="B80" s="27"/>
      <c r="D80" s="27"/>
      <c r="F80" s="27"/>
      <c r="K80" s="27"/>
    </row>
    <row r="81" spans="1:11">
      <c r="A81" s="27"/>
      <c r="B81" s="27"/>
      <c r="D81" s="27"/>
      <c r="F81" s="27"/>
      <c r="K81" s="27"/>
    </row>
    <row r="82" spans="1:11">
      <c r="A82" s="27"/>
      <c r="B82" s="27"/>
      <c r="D82" s="27"/>
      <c r="F82" s="27"/>
      <c r="K82" s="27"/>
    </row>
    <row r="83" spans="1:11">
      <c r="A83" s="27"/>
      <c r="B83" s="27"/>
      <c r="D83" s="27"/>
      <c r="F83" s="27"/>
      <c r="K83" s="27"/>
    </row>
    <row r="84" spans="1:11">
      <c r="A84" s="27"/>
      <c r="B84" s="27"/>
      <c r="D84" s="27"/>
      <c r="F84" s="27"/>
      <c r="K84" s="27"/>
    </row>
    <row r="85" spans="1:11">
      <c r="A85" s="27"/>
      <c r="B85" s="27"/>
      <c r="D85" s="27"/>
      <c r="F85" s="27"/>
      <c r="K85" s="27"/>
    </row>
    <row r="86" spans="1:11">
      <c r="A86" s="27"/>
      <c r="B86" s="27"/>
      <c r="D86" s="27"/>
      <c r="F86" s="27"/>
      <c r="K86" s="27"/>
    </row>
    <row r="87" spans="1:11">
      <c r="A87" s="27"/>
      <c r="B87" s="27"/>
      <c r="D87" s="27"/>
      <c r="F87" s="27"/>
      <c r="K87" s="27"/>
    </row>
    <row r="88" spans="1:11">
      <c r="A88" s="27"/>
      <c r="B88" s="27"/>
      <c r="D88" s="27"/>
      <c r="F88" s="27"/>
      <c r="K88" s="27"/>
    </row>
    <row r="89" spans="1:11">
      <c r="A89" s="27"/>
      <c r="B89" s="27"/>
      <c r="D89" s="27"/>
      <c r="F89" s="27"/>
      <c r="K89" s="27"/>
    </row>
    <row r="90" spans="1:11">
      <c r="A90" s="27"/>
      <c r="B90" s="27"/>
      <c r="D90" s="27"/>
      <c r="F90" s="27"/>
      <c r="K90" s="27"/>
    </row>
    <row r="91" spans="1:11">
      <c r="A91" s="27"/>
      <c r="B91" s="27"/>
      <c r="D91" s="27"/>
      <c r="F91" s="27"/>
      <c r="K91" s="27"/>
    </row>
    <row r="92" spans="1:11">
      <c r="A92" s="27"/>
      <c r="B92" s="27"/>
      <c r="D92" s="27"/>
      <c r="F92" s="27"/>
      <c r="K92" s="27"/>
    </row>
    <row r="93" spans="1:11">
      <c r="A93" s="27"/>
      <c r="B93" s="27"/>
      <c r="D93" s="27"/>
      <c r="F93" s="27"/>
      <c r="K93" s="27"/>
    </row>
    <row r="94" spans="1:11">
      <c r="A94" s="27"/>
      <c r="B94" s="27"/>
      <c r="D94" s="27"/>
      <c r="F94" s="27"/>
      <c r="K94" s="27"/>
    </row>
    <row r="95" spans="1:11">
      <c r="A95" s="27"/>
      <c r="B95" s="27"/>
      <c r="D95" s="27"/>
      <c r="F95" s="27"/>
      <c r="K95" s="27"/>
    </row>
    <row r="96" spans="1:11">
      <c r="A96" s="27"/>
      <c r="B96" s="27"/>
      <c r="D96" s="27"/>
      <c r="F96" s="27"/>
      <c r="K96" s="27"/>
    </row>
    <row r="97" spans="1:11">
      <c r="A97" s="27"/>
      <c r="B97" s="27"/>
      <c r="D97" s="27"/>
      <c r="F97" s="27"/>
      <c r="K97" s="27"/>
    </row>
    <row r="98" spans="1:11">
      <c r="A98" s="27"/>
      <c r="B98" s="27"/>
      <c r="D98" s="27"/>
      <c r="F98" s="27"/>
      <c r="K98" s="27"/>
    </row>
    <row r="99" spans="1:11">
      <c r="A99" s="27"/>
      <c r="B99" s="27"/>
      <c r="D99" s="27"/>
      <c r="F99" s="27"/>
      <c r="K99" s="27"/>
    </row>
    <row r="100" spans="1:11">
      <c r="A100" s="27"/>
      <c r="B100" s="27"/>
      <c r="D100" s="27"/>
      <c r="F100" s="27"/>
      <c r="K100" s="27"/>
    </row>
    <row r="101" spans="1:11">
      <c r="A101" s="27"/>
      <c r="B101" s="27"/>
      <c r="D101" s="27"/>
      <c r="F101" s="27"/>
      <c r="K101" s="27"/>
    </row>
    <row r="102" spans="1:11">
      <c r="A102" s="27"/>
      <c r="B102" s="27"/>
      <c r="D102" s="27"/>
      <c r="F102" s="27"/>
      <c r="K102" s="27"/>
    </row>
    <row r="103" spans="1:11">
      <c r="A103" s="27"/>
      <c r="B103" s="27"/>
      <c r="D103" s="27"/>
      <c r="F103" s="27"/>
      <c r="K103" s="27"/>
    </row>
    <row r="104" spans="1:11">
      <c r="A104" s="27"/>
      <c r="B104" s="27"/>
      <c r="D104" s="27"/>
      <c r="F104" s="27"/>
      <c r="K104" s="27"/>
    </row>
    <row r="105" spans="1:11">
      <c r="A105" s="27"/>
      <c r="B105" s="27"/>
      <c r="D105" s="27"/>
      <c r="F105" s="27"/>
      <c r="K105" s="27"/>
    </row>
    <row r="106" spans="1:11">
      <c r="A106" s="27"/>
      <c r="B106" s="27"/>
      <c r="D106" s="27"/>
      <c r="F106" s="27"/>
      <c r="K106" s="27"/>
    </row>
    <row r="107" spans="1:11">
      <c r="A107" s="27"/>
      <c r="B107" s="27"/>
      <c r="D107" s="27"/>
      <c r="F107" s="27"/>
      <c r="K107" s="27"/>
    </row>
    <row r="108" spans="1:11">
      <c r="A108" s="27"/>
      <c r="B108" s="27"/>
      <c r="D108" s="27"/>
      <c r="F108" s="27"/>
      <c r="K108" s="27"/>
    </row>
    <row r="109" spans="1:11">
      <c r="A109" s="27"/>
      <c r="B109" s="27"/>
      <c r="D109" s="27"/>
      <c r="F109" s="27"/>
      <c r="K109" s="27"/>
    </row>
    <row r="110" spans="1:11">
      <c r="A110" s="27"/>
      <c r="B110" s="27"/>
      <c r="D110" s="27"/>
      <c r="F110" s="27"/>
      <c r="K110" s="27"/>
    </row>
    <row r="111" spans="1:11">
      <c r="A111" s="27"/>
      <c r="B111" s="27"/>
      <c r="D111" s="27"/>
      <c r="F111" s="27"/>
      <c r="K111" s="27"/>
    </row>
    <row r="112" spans="1:11">
      <c r="A112" s="27"/>
      <c r="B112" s="27"/>
      <c r="D112" s="27"/>
      <c r="F112" s="27"/>
      <c r="K112" s="27"/>
    </row>
    <row r="113" spans="1:11">
      <c r="A113" s="27"/>
      <c r="B113" s="27"/>
      <c r="D113" s="27"/>
      <c r="F113" s="27"/>
      <c r="K113" s="27"/>
    </row>
    <row r="114" spans="1:11">
      <c r="A114" s="27"/>
      <c r="B114" s="27"/>
      <c r="D114" s="27"/>
      <c r="F114" s="27"/>
      <c r="K114" s="27"/>
    </row>
    <row r="115" spans="1:11">
      <c r="A115" s="27"/>
      <c r="B115" s="27"/>
      <c r="D115" s="27"/>
      <c r="F115" s="27"/>
      <c r="K115" s="27"/>
    </row>
    <row r="116" spans="1:11">
      <c r="A116" s="27"/>
      <c r="B116" s="27"/>
      <c r="D116" s="27"/>
      <c r="F116" s="27"/>
      <c r="K116" s="27"/>
    </row>
    <row r="117" spans="1:11">
      <c r="A117" s="27"/>
      <c r="B117" s="27"/>
      <c r="D117" s="27"/>
      <c r="F117" s="27"/>
      <c r="K117" s="27"/>
    </row>
    <row r="118" spans="1:11">
      <c r="A118" s="27"/>
      <c r="B118" s="27"/>
      <c r="D118" s="27"/>
      <c r="F118" s="27"/>
      <c r="K118" s="27"/>
    </row>
    <row r="119" spans="1:11">
      <c r="A119" s="27"/>
      <c r="B119" s="27"/>
      <c r="D119" s="27"/>
      <c r="F119" s="27"/>
      <c r="K119" s="27"/>
    </row>
    <row r="120" spans="1:11">
      <c r="A120" s="27"/>
      <c r="B120" s="27"/>
      <c r="D120" s="27"/>
      <c r="F120" s="27"/>
      <c r="K120" s="27"/>
    </row>
    <row r="121" spans="1:11">
      <c r="A121" s="27"/>
      <c r="B121" s="27"/>
      <c r="D121" s="27"/>
      <c r="F121" s="27"/>
      <c r="K121" s="27"/>
    </row>
    <row r="122" spans="1:11">
      <c r="A122" s="27"/>
      <c r="B122" s="27"/>
      <c r="D122" s="27"/>
      <c r="F122" s="27"/>
      <c r="K122" s="27"/>
    </row>
    <row r="123" spans="1:11">
      <c r="A123" s="27"/>
      <c r="B123" s="27"/>
      <c r="D123" s="27"/>
      <c r="F123" s="27"/>
      <c r="K123" s="27"/>
    </row>
    <row r="124" spans="1:11">
      <c r="A124" s="27"/>
      <c r="B124" s="27"/>
      <c r="D124" s="27"/>
      <c r="F124" s="27"/>
      <c r="K124" s="27"/>
    </row>
    <row r="125" spans="1:11">
      <c r="A125" s="27"/>
      <c r="B125" s="27"/>
      <c r="D125" s="27"/>
      <c r="F125" s="27"/>
      <c r="K125" s="27"/>
    </row>
    <row r="126" spans="1:11">
      <c r="A126" s="27"/>
      <c r="B126" s="27"/>
      <c r="D126" s="27"/>
      <c r="F126" s="27"/>
      <c r="K126" s="27"/>
    </row>
    <row r="127" spans="1:11">
      <c r="A127" s="27"/>
      <c r="B127" s="27"/>
      <c r="D127" s="27"/>
      <c r="F127" s="27"/>
      <c r="K127" s="27"/>
    </row>
    <row r="128" spans="1:11">
      <c r="A128" s="27"/>
      <c r="B128" s="27"/>
      <c r="D128" s="27"/>
      <c r="F128" s="27"/>
      <c r="K128" s="27"/>
    </row>
    <row r="129" spans="1:11">
      <c r="A129" s="27"/>
      <c r="B129" s="27"/>
      <c r="D129" s="27"/>
      <c r="F129" s="27"/>
      <c r="K129" s="27"/>
    </row>
    <row r="130" spans="1:11">
      <c r="A130" s="27"/>
      <c r="B130" s="27"/>
      <c r="D130" s="27"/>
      <c r="F130" s="27"/>
      <c r="K130" s="27"/>
    </row>
    <row r="131" spans="1:11">
      <c r="A131" s="27"/>
      <c r="B131" s="27"/>
      <c r="D131" s="27"/>
      <c r="F131" s="27"/>
      <c r="K131" s="27"/>
    </row>
    <row r="132" spans="1:11">
      <c r="A132" s="27"/>
      <c r="B132" s="27"/>
      <c r="D132" s="27"/>
      <c r="F132" s="27"/>
      <c r="K132" s="27"/>
    </row>
    <row r="133" spans="1:11">
      <c r="A133" s="27"/>
      <c r="B133" s="27"/>
      <c r="D133" s="27"/>
      <c r="F133" s="27"/>
      <c r="K133" s="27"/>
    </row>
    <row r="134" spans="1:11">
      <c r="A134" s="27"/>
      <c r="B134" s="27"/>
      <c r="D134" s="27"/>
      <c r="F134" s="27"/>
      <c r="K134" s="27"/>
    </row>
    <row r="135" spans="1:11">
      <c r="A135" s="27"/>
      <c r="B135" s="27"/>
      <c r="D135" s="27"/>
      <c r="F135" s="27"/>
      <c r="K135" s="27"/>
    </row>
    <row r="136" spans="1:11">
      <c r="A136" s="27"/>
      <c r="B136" s="27"/>
      <c r="D136" s="27"/>
      <c r="F136" s="27"/>
      <c r="K136" s="27"/>
    </row>
    <row r="137" spans="1:11">
      <c r="A137" s="27"/>
      <c r="B137" s="27"/>
      <c r="D137" s="27"/>
      <c r="F137" s="27"/>
      <c r="K137" s="27"/>
    </row>
    <row r="138" spans="1:11">
      <c r="A138" s="27"/>
      <c r="B138" s="27"/>
      <c r="D138" s="27"/>
      <c r="F138" s="27"/>
      <c r="K138" s="27"/>
    </row>
    <row r="139" spans="1:11">
      <c r="A139" s="27"/>
      <c r="B139" s="27"/>
      <c r="D139" s="27"/>
      <c r="F139" s="27"/>
      <c r="K139" s="27"/>
    </row>
    <row r="140" spans="1:11">
      <c r="A140" s="27"/>
      <c r="B140" s="27"/>
      <c r="D140" s="27"/>
      <c r="F140" s="27"/>
      <c r="K140" s="27"/>
    </row>
    <row r="141" spans="1:11">
      <c r="A141" s="27"/>
      <c r="B141" s="27"/>
      <c r="D141" s="27"/>
      <c r="F141" s="27"/>
      <c r="K141" s="27"/>
    </row>
    <row r="142" spans="1:11">
      <c r="A142" s="27"/>
      <c r="B142" s="27"/>
      <c r="D142" s="27"/>
      <c r="F142" s="27"/>
      <c r="K142" s="27"/>
    </row>
    <row r="143" spans="1:11">
      <c r="A143" s="27"/>
      <c r="B143" s="27"/>
      <c r="D143" s="27"/>
      <c r="F143" s="27"/>
      <c r="K143" s="27"/>
    </row>
    <row r="144" spans="1:11">
      <c r="A144" s="27"/>
      <c r="B144" s="27"/>
      <c r="D144" s="27"/>
      <c r="F144" s="27"/>
      <c r="K144" s="27"/>
    </row>
    <row r="145" spans="1:11">
      <c r="A145" s="27"/>
      <c r="B145" s="27"/>
      <c r="D145" s="27"/>
      <c r="F145" s="27"/>
      <c r="K145" s="27"/>
    </row>
    <row r="146" spans="1:11">
      <c r="A146" s="27"/>
      <c r="B146" s="27"/>
      <c r="D146" s="27"/>
      <c r="F146" s="27"/>
      <c r="K146" s="27"/>
    </row>
    <row r="147" spans="1:11">
      <c r="A147" s="27"/>
      <c r="B147" s="27"/>
      <c r="D147" s="27"/>
      <c r="F147" s="27"/>
      <c r="K147" s="27"/>
    </row>
    <row r="148" spans="1:11">
      <c r="A148" s="27"/>
      <c r="B148" s="27"/>
      <c r="D148" s="27"/>
      <c r="F148" s="27"/>
      <c r="K148" s="27"/>
    </row>
    <row r="149" spans="1:11">
      <c r="A149" s="27"/>
      <c r="B149" s="27"/>
      <c r="D149" s="27"/>
      <c r="F149" s="27"/>
      <c r="K149" s="27"/>
    </row>
    <row r="150" spans="1:11">
      <c r="A150" s="27"/>
      <c r="B150" s="27"/>
      <c r="D150" s="27"/>
      <c r="F150" s="27"/>
      <c r="K150" s="27"/>
    </row>
    <row r="151" spans="1:11">
      <c r="A151" s="27"/>
      <c r="B151" s="27"/>
      <c r="D151" s="27"/>
      <c r="F151" s="27"/>
      <c r="K151" s="27"/>
    </row>
    <row r="152" spans="1:11">
      <c r="A152" s="27"/>
      <c r="B152" s="27"/>
      <c r="D152" s="27"/>
      <c r="F152" s="27"/>
      <c r="K152" s="27"/>
    </row>
    <row r="153" spans="1:11">
      <c r="A153" s="27"/>
      <c r="B153" s="27"/>
      <c r="D153" s="27"/>
      <c r="F153" s="27"/>
      <c r="K153" s="27"/>
    </row>
    <row r="154" spans="1:11">
      <c r="A154" s="27"/>
      <c r="B154" s="27"/>
      <c r="D154" s="27"/>
      <c r="F154" s="27"/>
      <c r="K154" s="27"/>
    </row>
    <row r="155" spans="1:11">
      <c r="A155" s="27"/>
      <c r="B155" s="27"/>
      <c r="D155" s="27"/>
      <c r="F155" s="27"/>
      <c r="K155" s="27"/>
    </row>
    <row r="156" spans="1:11">
      <c r="A156" s="27"/>
      <c r="B156" s="27"/>
      <c r="D156" s="27"/>
      <c r="F156" s="27"/>
      <c r="K156" s="27"/>
    </row>
    <row r="157" spans="1:11">
      <c r="A157" s="27"/>
      <c r="B157" s="27"/>
      <c r="D157" s="27"/>
      <c r="F157" s="27"/>
      <c r="K157" s="27"/>
    </row>
    <row r="158" spans="1:11">
      <c r="A158" s="27"/>
      <c r="B158" s="27"/>
      <c r="D158" s="27"/>
      <c r="F158" s="27"/>
      <c r="K158" s="27"/>
    </row>
    <row r="159" spans="1:11">
      <c r="A159" s="27"/>
      <c r="B159" s="27"/>
      <c r="D159" s="27"/>
      <c r="F159" s="27"/>
      <c r="K159" s="27"/>
    </row>
    <row r="160" spans="1:11">
      <c r="A160" s="27"/>
      <c r="B160" s="27"/>
      <c r="D160" s="27"/>
      <c r="F160" s="27"/>
      <c r="K160" s="27"/>
    </row>
    <row r="161" spans="1:11">
      <c r="A161" s="27"/>
      <c r="B161" s="27"/>
      <c r="D161" s="27"/>
      <c r="F161" s="27"/>
      <c r="K161" s="27"/>
    </row>
    <row r="162" spans="1:11">
      <c r="A162" s="27"/>
      <c r="B162" s="27"/>
      <c r="D162" s="27"/>
      <c r="F162" s="27"/>
      <c r="K162" s="27"/>
    </row>
    <row r="163" spans="1:11">
      <c r="A163" s="27"/>
      <c r="B163" s="27"/>
      <c r="D163" s="27"/>
      <c r="F163" s="27"/>
      <c r="K163" s="27"/>
    </row>
    <row r="164" spans="1:11">
      <c r="A164" s="27"/>
      <c r="B164" s="27"/>
      <c r="D164" s="27"/>
      <c r="F164" s="27"/>
      <c r="K164" s="27"/>
    </row>
    <row r="165" spans="1:11">
      <c r="A165" s="27"/>
      <c r="B165" s="27"/>
      <c r="D165" s="27"/>
      <c r="F165" s="27"/>
      <c r="K165" s="27"/>
    </row>
    <row r="166" spans="1:11">
      <c r="A166" s="27"/>
      <c r="B166" s="27"/>
      <c r="D166" s="27"/>
      <c r="F166" s="27"/>
      <c r="K166" s="27"/>
    </row>
    <row r="167" spans="1:11">
      <c r="A167" s="27"/>
      <c r="B167" s="27"/>
      <c r="D167" s="27"/>
      <c r="F167" s="27"/>
      <c r="K167" s="27"/>
    </row>
    <row r="168" spans="1:11">
      <c r="A168" s="27"/>
      <c r="B168" s="27"/>
      <c r="D168" s="27"/>
      <c r="F168" s="27"/>
      <c r="K168" s="27"/>
    </row>
    <row r="169" spans="1:11">
      <c r="A169" s="27"/>
      <c r="B169" s="27"/>
      <c r="D169" s="27"/>
      <c r="F169" s="27"/>
      <c r="K169" s="27"/>
    </row>
    <row r="170" spans="1:11">
      <c r="A170" s="27"/>
      <c r="B170" s="27"/>
      <c r="D170" s="27"/>
      <c r="F170" s="27"/>
      <c r="K170" s="27"/>
    </row>
    <row r="171" spans="1:11">
      <c r="A171" s="27"/>
      <c r="B171" s="27"/>
      <c r="D171" s="27"/>
      <c r="F171" s="27"/>
      <c r="K171" s="27"/>
    </row>
    <row r="172" spans="1:11">
      <c r="A172" s="27"/>
      <c r="B172" s="27"/>
      <c r="D172" s="27"/>
      <c r="F172" s="27"/>
      <c r="K172" s="27"/>
    </row>
    <row r="173" spans="1:11">
      <c r="A173" s="27"/>
      <c r="B173" s="27"/>
      <c r="D173" s="27"/>
      <c r="F173" s="27"/>
      <c r="K173" s="27"/>
    </row>
    <row r="174" spans="1:11">
      <c r="A174" s="27"/>
      <c r="B174" s="27"/>
      <c r="D174" s="27"/>
      <c r="F174" s="27"/>
      <c r="K174" s="27"/>
    </row>
    <row r="175" spans="1:11">
      <c r="A175" s="27"/>
      <c r="B175" s="27"/>
      <c r="D175" s="27"/>
      <c r="F175" s="27"/>
      <c r="K175" s="27"/>
    </row>
    <row r="176" spans="1:11">
      <c r="A176" s="27"/>
      <c r="B176" s="27"/>
      <c r="D176" s="27"/>
      <c r="F176" s="27"/>
      <c r="K176" s="27"/>
    </row>
    <row r="177" spans="1:11">
      <c r="A177" s="27"/>
      <c r="B177" s="27"/>
      <c r="D177" s="27"/>
      <c r="F177" s="27"/>
      <c r="K177" s="27"/>
    </row>
    <row r="178" spans="1:11">
      <c r="A178" s="27"/>
      <c r="B178" s="27"/>
      <c r="D178" s="27"/>
      <c r="F178" s="27"/>
      <c r="K178" s="27"/>
    </row>
    <row r="179" spans="1:11">
      <c r="A179" s="27"/>
      <c r="B179" s="27"/>
      <c r="D179" s="27"/>
      <c r="F179" s="27"/>
      <c r="K179" s="27"/>
    </row>
    <row r="180" spans="1:11">
      <c r="A180" s="27"/>
      <c r="B180" s="27"/>
      <c r="D180" s="27"/>
      <c r="F180" s="27"/>
      <c r="K180" s="27"/>
    </row>
    <row r="181" spans="1:11">
      <c r="A181" s="27"/>
      <c r="B181" s="27"/>
      <c r="D181" s="27"/>
      <c r="F181" s="27"/>
      <c r="K181" s="27"/>
    </row>
    <row r="182" spans="1:11">
      <c r="A182" s="27"/>
      <c r="B182" s="27"/>
      <c r="D182" s="27"/>
      <c r="F182" s="27"/>
      <c r="K182" s="27"/>
    </row>
    <row r="183" spans="1:11">
      <c r="A183" s="27"/>
      <c r="B183" s="27"/>
      <c r="D183" s="27"/>
      <c r="F183" s="27"/>
      <c r="K183" s="27"/>
    </row>
    <row r="184" spans="1:11">
      <c r="A184" s="27"/>
      <c r="B184" s="27"/>
      <c r="D184" s="27"/>
      <c r="F184" s="27"/>
      <c r="K184" s="27"/>
    </row>
    <row r="185" spans="1:11">
      <c r="A185" s="27"/>
      <c r="B185" s="27"/>
      <c r="D185" s="27"/>
      <c r="F185" s="27"/>
      <c r="K185" s="27"/>
    </row>
    <row r="186" spans="1:11">
      <c r="A186" s="27"/>
      <c r="B186" s="27"/>
      <c r="D186" s="27"/>
      <c r="F186" s="27"/>
      <c r="K186" s="27"/>
    </row>
    <row r="187" spans="1:11">
      <c r="A187" s="27"/>
      <c r="B187" s="27"/>
      <c r="D187" s="27"/>
      <c r="F187" s="27"/>
      <c r="K187" s="27"/>
    </row>
    <row r="188" spans="1:11">
      <c r="A188" s="27"/>
      <c r="B188" s="27"/>
      <c r="D188" s="27"/>
      <c r="F188" s="27"/>
      <c r="K188" s="27"/>
    </row>
    <row r="189" spans="1:11">
      <c r="A189" s="27"/>
      <c r="B189" s="27"/>
      <c r="D189" s="27"/>
      <c r="F189" s="27"/>
      <c r="K189" s="27"/>
    </row>
    <row r="190" spans="1:11">
      <c r="A190" s="27"/>
      <c r="B190" s="27"/>
      <c r="D190" s="27"/>
      <c r="F190" s="27"/>
      <c r="K190" s="27"/>
    </row>
    <row r="191" spans="1:11">
      <c r="A191" s="27"/>
      <c r="B191" s="27"/>
      <c r="D191" s="27"/>
      <c r="F191" s="27"/>
      <c r="K191" s="27"/>
    </row>
    <row r="192" spans="1:11">
      <c r="A192" s="27"/>
      <c r="B192" s="27"/>
      <c r="D192" s="27"/>
      <c r="F192" s="27"/>
      <c r="K192" s="27"/>
    </row>
    <row r="193" spans="1:11">
      <c r="A193" s="27"/>
      <c r="B193" s="27"/>
      <c r="D193" s="27"/>
      <c r="F193" s="27"/>
      <c r="K193" s="27"/>
    </row>
    <row r="194" spans="1:11">
      <c r="A194" s="27"/>
      <c r="B194" s="27"/>
      <c r="D194" s="27"/>
      <c r="F194" s="27"/>
      <c r="K194" s="27"/>
    </row>
    <row r="195" spans="1:11">
      <c r="A195" s="27"/>
      <c r="B195" s="27"/>
      <c r="D195" s="27"/>
      <c r="F195" s="27"/>
      <c r="K195" s="27"/>
    </row>
    <row r="196" spans="1:11">
      <c r="A196" s="27"/>
      <c r="B196" s="27"/>
      <c r="D196" s="27"/>
      <c r="F196" s="27"/>
      <c r="K196" s="27"/>
    </row>
    <row r="197" spans="1:11">
      <c r="A197" s="27"/>
      <c r="B197" s="27"/>
      <c r="D197" s="27"/>
      <c r="F197" s="27"/>
      <c r="K197" s="27"/>
    </row>
    <row r="198" spans="1:11">
      <c r="A198" s="27"/>
      <c r="B198" s="27"/>
      <c r="D198" s="27"/>
      <c r="F198" s="27"/>
      <c r="K198" s="27"/>
    </row>
    <row r="199" spans="1:11">
      <c r="A199" s="27"/>
      <c r="B199" s="27"/>
      <c r="D199" s="27"/>
      <c r="F199" s="27"/>
      <c r="K199" s="27"/>
    </row>
    <row r="200" spans="1:11">
      <c r="A200" s="27"/>
      <c r="B200" s="27"/>
      <c r="D200" s="27"/>
      <c r="F200" s="27"/>
      <c r="K200" s="27"/>
    </row>
    <row r="201" spans="1:11">
      <c r="A201" s="27"/>
      <c r="B201" s="27"/>
      <c r="D201" s="27"/>
      <c r="F201" s="27"/>
      <c r="K201" s="27"/>
    </row>
    <row r="202" spans="1:11">
      <c r="A202" s="27"/>
      <c r="B202" s="27"/>
      <c r="D202" s="27"/>
      <c r="F202" s="27"/>
      <c r="K202" s="27"/>
    </row>
    <row r="203" spans="1:11">
      <c r="A203" s="27"/>
      <c r="B203" s="27"/>
      <c r="D203" s="27"/>
      <c r="F203" s="27"/>
      <c r="K203" s="27"/>
    </row>
    <row r="204" spans="1:11">
      <c r="A204" s="27"/>
      <c r="B204" s="27"/>
      <c r="D204" s="27"/>
      <c r="F204" s="27"/>
      <c r="K204" s="27"/>
    </row>
    <row r="205" spans="1:11">
      <c r="A205" s="27"/>
      <c r="B205" s="27"/>
      <c r="D205" s="27"/>
      <c r="F205" s="27"/>
      <c r="K205" s="27"/>
    </row>
    <row r="206" spans="1:11">
      <c r="A206" s="27"/>
      <c r="B206" s="27"/>
      <c r="D206" s="27"/>
      <c r="F206" s="27"/>
      <c r="K206" s="27"/>
    </row>
    <row r="207" spans="1:11">
      <c r="A207" s="27"/>
      <c r="B207" s="27"/>
      <c r="D207" s="27"/>
      <c r="F207" s="27"/>
      <c r="K207" s="27"/>
    </row>
    <row r="208" spans="1:11">
      <c r="A208" s="27"/>
      <c r="B208" s="27"/>
      <c r="D208" s="27"/>
      <c r="F208" s="27"/>
      <c r="K208" s="27"/>
    </row>
    <row r="209" spans="1:11">
      <c r="A209" s="27"/>
      <c r="B209" s="27"/>
      <c r="D209" s="27"/>
      <c r="F209" s="27"/>
      <c r="K209" s="27"/>
    </row>
    <row r="210" spans="1:11">
      <c r="A210" s="27"/>
      <c r="B210" s="27"/>
      <c r="D210" s="27"/>
      <c r="F210" s="27"/>
      <c r="K210" s="27"/>
    </row>
    <row r="211" spans="1:11">
      <c r="A211" s="27"/>
      <c r="B211" s="27"/>
      <c r="D211" s="27"/>
      <c r="F211" s="27"/>
      <c r="K211" s="27"/>
    </row>
    <row r="212" spans="1:11">
      <c r="A212" s="27"/>
      <c r="B212" s="27"/>
      <c r="D212" s="27"/>
      <c r="F212" s="27"/>
      <c r="K212" s="27"/>
    </row>
    <row r="213" spans="1:11">
      <c r="A213" s="27"/>
      <c r="B213" s="27"/>
      <c r="D213" s="27"/>
      <c r="F213" s="27"/>
      <c r="K213" s="27"/>
    </row>
    <row r="214" spans="1:11">
      <c r="A214" s="27"/>
      <c r="B214" s="27"/>
      <c r="D214" s="27"/>
      <c r="F214" s="27"/>
      <c r="K214" s="27"/>
    </row>
    <row r="215" spans="1:11">
      <c r="A215" s="27"/>
      <c r="B215" s="27"/>
      <c r="D215" s="27"/>
      <c r="F215" s="27"/>
      <c r="K215" s="27"/>
    </row>
    <row r="216" spans="1:11">
      <c r="A216" s="27"/>
      <c r="B216" s="27"/>
      <c r="D216" s="27"/>
      <c r="F216" s="27"/>
      <c r="K216" s="27"/>
    </row>
    <row r="217" spans="1:11">
      <c r="A217" s="27"/>
      <c r="B217" s="27"/>
      <c r="D217" s="27"/>
      <c r="F217" s="27"/>
      <c r="K217" s="27"/>
    </row>
    <row r="218" spans="1:11">
      <c r="A218" s="27"/>
      <c r="B218" s="27"/>
      <c r="D218" s="27"/>
      <c r="F218" s="27"/>
      <c r="K218" s="27"/>
    </row>
    <row r="219" spans="1:11">
      <c r="A219" s="27"/>
      <c r="B219" s="27"/>
      <c r="D219" s="27"/>
      <c r="F219" s="27"/>
      <c r="K219" s="27"/>
    </row>
    <row r="220" spans="1:11">
      <c r="A220" s="27"/>
      <c r="B220" s="27"/>
      <c r="D220" s="27"/>
      <c r="F220" s="27"/>
      <c r="K220" s="27"/>
    </row>
    <row r="221" spans="1:11">
      <c r="A221" s="27"/>
      <c r="B221" s="27"/>
      <c r="D221" s="27"/>
      <c r="F221" s="27"/>
      <c r="K221" s="27"/>
    </row>
    <row r="222" spans="1:11">
      <c r="A222" s="27"/>
      <c r="B222" s="27"/>
      <c r="D222" s="27"/>
      <c r="F222" s="27"/>
      <c r="K222" s="27"/>
    </row>
    <row r="223" spans="1:11">
      <c r="A223" s="27"/>
      <c r="B223" s="27"/>
      <c r="D223" s="27"/>
      <c r="F223" s="27"/>
      <c r="K223" s="27"/>
    </row>
    <row r="224" spans="1:11">
      <c r="A224" s="27"/>
      <c r="B224" s="27"/>
      <c r="D224" s="27"/>
      <c r="F224" s="27"/>
      <c r="K224" s="27"/>
    </row>
    <row r="225" spans="1:11">
      <c r="A225" s="27"/>
      <c r="B225" s="27"/>
      <c r="D225" s="27"/>
      <c r="F225" s="27"/>
      <c r="K225" s="27"/>
    </row>
    <row r="226" spans="1:11">
      <c r="A226" s="27"/>
      <c r="B226" s="27"/>
      <c r="D226" s="27"/>
      <c r="F226" s="27"/>
      <c r="K226" s="27"/>
    </row>
    <row r="227" spans="1:11">
      <c r="A227" s="27"/>
      <c r="B227" s="27"/>
      <c r="D227" s="27"/>
      <c r="F227" s="27"/>
      <c r="K227" s="27"/>
    </row>
    <row r="228" spans="1:11">
      <c r="A228" s="27"/>
      <c r="B228" s="27"/>
      <c r="D228" s="27"/>
      <c r="F228" s="27"/>
      <c r="K228" s="27"/>
    </row>
    <row r="229" spans="1:11">
      <c r="A229" s="27"/>
      <c r="B229" s="27"/>
      <c r="D229" s="27"/>
      <c r="F229" s="27"/>
      <c r="K229" s="27"/>
    </row>
    <row r="230" spans="1:11">
      <c r="A230" s="27"/>
      <c r="B230" s="27"/>
      <c r="D230" s="27"/>
      <c r="F230" s="27"/>
      <c r="K230" s="27"/>
    </row>
    <row r="231" spans="1:11">
      <c r="A231" s="27"/>
      <c r="B231" s="27"/>
      <c r="D231" s="27"/>
      <c r="F231" s="27"/>
      <c r="K231" s="27"/>
    </row>
    <row r="232" spans="1:11">
      <c r="A232" s="27"/>
      <c r="B232" s="27"/>
      <c r="D232" s="27"/>
      <c r="F232" s="27"/>
      <c r="K232" s="27"/>
    </row>
    <row r="233" spans="1:11">
      <c r="A233" s="27"/>
      <c r="B233" s="27"/>
      <c r="D233" s="27"/>
      <c r="F233" s="27"/>
      <c r="K233" s="27"/>
    </row>
    <row r="234" spans="1:11">
      <c r="A234" s="27"/>
      <c r="B234" s="27"/>
      <c r="D234" s="27"/>
      <c r="F234" s="27"/>
      <c r="K234" s="27"/>
    </row>
    <row r="235" spans="1:11">
      <c r="A235" s="27"/>
      <c r="B235" s="27"/>
      <c r="D235" s="27"/>
      <c r="F235" s="27"/>
      <c r="K235" s="27"/>
    </row>
    <row r="236" spans="1:11">
      <c r="A236" s="27"/>
      <c r="B236" s="27"/>
      <c r="D236" s="27"/>
      <c r="F236" s="27"/>
      <c r="K236" s="27"/>
    </row>
    <row r="237" spans="1:11">
      <c r="A237" s="27"/>
      <c r="B237" s="27"/>
      <c r="D237" s="27"/>
      <c r="F237" s="27"/>
      <c r="K237" s="27"/>
    </row>
    <row r="238" spans="1:11">
      <c r="A238" s="27"/>
      <c r="B238" s="27"/>
      <c r="D238" s="27"/>
      <c r="F238" s="27"/>
      <c r="K238" s="27"/>
    </row>
    <row r="239" spans="1:11">
      <c r="A239" s="27"/>
      <c r="B239" s="27"/>
      <c r="D239" s="27"/>
      <c r="F239" s="27"/>
      <c r="K239" s="27"/>
    </row>
    <row r="240" spans="1:11">
      <c r="A240" s="27"/>
      <c r="B240" s="27"/>
      <c r="D240" s="27"/>
      <c r="F240" s="27"/>
      <c r="K240" s="27"/>
    </row>
    <row r="241" spans="1:11">
      <c r="A241" s="27"/>
      <c r="B241" s="27"/>
      <c r="D241" s="27"/>
      <c r="F241" s="27"/>
      <c r="K241" s="27"/>
    </row>
    <row r="242" spans="1:11">
      <c r="A242" s="27"/>
      <c r="B242" s="27"/>
      <c r="D242" s="27"/>
      <c r="F242" s="27"/>
      <c r="K242" s="27"/>
    </row>
    <row r="243" spans="1:11">
      <c r="A243" s="27"/>
      <c r="B243" s="27"/>
      <c r="D243" s="27"/>
      <c r="F243" s="27"/>
      <c r="K243" s="27"/>
    </row>
    <row r="244" spans="1:11">
      <c r="A244" s="27"/>
      <c r="B244" s="27"/>
      <c r="D244" s="27"/>
      <c r="F244" s="27"/>
      <c r="K244" s="27"/>
    </row>
    <row r="245" spans="1:11">
      <c r="A245" s="27"/>
      <c r="B245" s="27"/>
      <c r="D245" s="27"/>
      <c r="F245" s="27"/>
      <c r="K245" s="27"/>
    </row>
    <row r="246" spans="1:11">
      <c r="A246" s="27"/>
      <c r="B246" s="27"/>
      <c r="D246" s="27"/>
      <c r="F246" s="27"/>
      <c r="K246" s="27"/>
    </row>
    <row r="247" spans="1:11">
      <c r="A247" s="27"/>
      <c r="B247" s="27"/>
      <c r="D247" s="27"/>
      <c r="F247" s="27"/>
      <c r="K247" s="27"/>
    </row>
    <row r="248" spans="1:11">
      <c r="A248" s="27"/>
      <c r="B248" s="27"/>
      <c r="D248" s="27"/>
      <c r="F248" s="27"/>
      <c r="K248" s="27"/>
    </row>
    <row r="249" spans="1:11">
      <c r="A249" s="27"/>
      <c r="B249" s="27"/>
      <c r="D249" s="27"/>
      <c r="F249" s="27"/>
      <c r="K249" s="27"/>
    </row>
    <row r="250" spans="1:11">
      <c r="A250" s="27"/>
      <c r="B250" s="27"/>
      <c r="D250" s="27"/>
      <c r="F250" s="27"/>
      <c r="K250" s="27"/>
    </row>
    <row r="251" spans="1:11">
      <c r="A251" s="27"/>
      <c r="B251" s="27"/>
      <c r="D251" s="27"/>
      <c r="F251" s="27"/>
      <c r="K251" s="27"/>
    </row>
    <row r="252" spans="1:11">
      <c r="A252" s="27"/>
      <c r="B252" s="27"/>
      <c r="D252" s="27"/>
      <c r="F252" s="27"/>
      <c r="K252" s="27"/>
    </row>
    <row r="253" spans="1:11">
      <c r="A253" s="27"/>
      <c r="B253" s="27"/>
      <c r="D253" s="27"/>
      <c r="F253" s="27"/>
      <c r="K253" s="27"/>
    </row>
    <row r="254" spans="1:11">
      <c r="A254" s="27"/>
      <c r="B254" s="27"/>
      <c r="D254" s="27"/>
      <c r="F254" s="27"/>
      <c r="K254" s="27"/>
    </row>
    <row r="255" spans="1:11">
      <c r="A255" s="27"/>
      <c r="B255" s="27"/>
      <c r="D255" s="27"/>
      <c r="F255" s="27"/>
      <c r="K255" s="27"/>
    </row>
    <row r="256" spans="1:11">
      <c r="A256" s="27"/>
      <c r="B256" s="27"/>
      <c r="D256" s="27"/>
      <c r="F256" s="27"/>
      <c r="K256" s="27"/>
    </row>
    <row r="257" spans="1:11">
      <c r="A257" s="27"/>
      <c r="B257" s="27"/>
      <c r="D257" s="27"/>
      <c r="F257" s="27"/>
      <c r="K257" s="27"/>
    </row>
    <row r="258" spans="1:11">
      <c r="A258" s="27"/>
      <c r="B258" s="27"/>
      <c r="D258" s="27"/>
      <c r="F258" s="27"/>
      <c r="K258" s="27"/>
    </row>
    <row r="259" spans="1:11">
      <c r="A259" s="27"/>
      <c r="B259" s="27"/>
      <c r="D259" s="27"/>
      <c r="F259" s="27"/>
      <c r="K259" s="27"/>
    </row>
    <row r="260" spans="1:11">
      <c r="A260" s="27"/>
      <c r="B260" s="27"/>
      <c r="D260" s="27"/>
      <c r="F260" s="27"/>
      <c r="K260" s="27"/>
    </row>
    <row r="261" spans="1:11">
      <c r="A261" s="27"/>
      <c r="B261" s="27"/>
      <c r="D261" s="27"/>
      <c r="F261" s="27"/>
      <c r="K261" s="27"/>
    </row>
    <row r="262" spans="1:11">
      <c r="A262" s="27"/>
      <c r="B262" s="27"/>
      <c r="D262" s="27"/>
      <c r="F262" s="27"/>
      <c r="K262" s="27"/>
    </row>
    <row r="263" spans="1:11">
      <c r="A263" s="27"/>
      <c r="B263" s="27"/>
      <c r="D263" s="27"/>
      <c r="F263" s="27"/>
      <c r="K263" s="27"/>
    </row>
    <row r="264" spans="1:11">
      <c r="A264" s="27"/>
      <c r="B264" s="27"/>
      <c r="D264" s="27"/>
      <c r="F264" s="27"/>
      <c r="K264" s="27"/>
    </row>
    <row r="265" spans="1:11">
      <c r="A265" s="27"/>
      <c r="B265" s="27"/>
      <c r="D265" s="27"/>
      <c r="F265" s="27"/>
      <c r="K265" s="27"/>
    </row>
    <row r="266" spans="1:11">
      <c r="A266" s="27"/>
      <c r="B266" s="27"/>
      <c r="D266" s="27"/>
      <c r="F266" s="27"/>
      <c r="K266" s="27"/>
    </row>
    <row r="267" spans="1:11">
      <c r="A267" s="27"/>
      <c r="B267" s="27"/>
      <c r="D267" s="27"/>
      <c r="F267" s="27"/>
      <c r="K267" s="27"/>
    </row>
    <row r="268" spans="1:11">
      <c r="A268" s="27"/>
      <c r="B268" s="27"/>
      <c r="D268" s="27"/>
      <c r="F268" s="27"/>
      <c r="K268" s="27"/>
    </row>
    <row r="269" spans="1:11">
      <c r="A269" s="27"/>
      <c r="B269" s="27"/>
      <c r="D269" s="27"/>
      <c r="F269" s="27"/>
      <c r="K269" s="27"/>
    </row>
    <row r="270" spans="1:11">
      <c r="A270" s="27"/>
      <c r="B270" s="27"/>
      <c r="D270" s="27"/>
      <c r="F270" s="27"/>
      <c r="K270" s="27"/>
    </row>
    <row r="271" spans="1:11">
      <c r="A271" s="27"/>
      <c r="B271" s="27"/>
      <c r="D271" s="27"/>
      <c r="F271" s="27"/>
      <c r="K271" s="27"/>
    </row>
    <row r="272" spans="1:11">
      <c r="A272" s="27"/>
      <c r="B272" s="27"/>
      <c r="D272" s="27"/>
      <c r="F272" s="27"/>
      <c r="K272" s="27"/>
    </row>
    <row r="273" spans="1:11">
      <c r="A273" s="27"/>
      <c r="B273" s="27"/>
      <c r="D273" s="27"/>
      <c r="F273" s="27"/>
      <c r="K273" s="27"/>
    </row>
    <row r="274" spans="1:11">
      <c r="A274" s="27"/>
      <c r="B274" s="27"/>
      <c r="D274" s="27"/>
      <c r="F274" s="27"/>
      <c r="K274" s="27"/>
    </row>
    <row r="275" spans="1:11">
      <c r="A275" s="27"/>
      <c r="B275" s="27"/>
      <c r="D275" s="27"/>
      <c r="F275" s="27"/>
      <c r="K275" s="27"/>
    </row>
    <row r="276" spans="1:11">
      <c r="A276" s="27"/>
      <c r="B276" s="27"/>
      <c r="D276" s="27"/>
      <c r="F276" s="27"/>
      <c r="K276" s="27"/>
    </row>
    <row r="277" spans="1:11">
      <c r="A277" s="27"/>
      <c r="B277" s="27"/>
      <c r="D277" s="27"/>
      <c r="F277" s="27"/>
      <c r="K277" s="27"/>
    </row>
    <row r="278" spans="1:11">
      <c r="A278" s="27"/>
      <c r="B278" s="27"/>
      <c r="D278" s="27"/>
      <c r="F278" s="27"/>
      <c r="K278" s="27"/>
    </row>
    <row r="279" spans="1:11">
      <c r="A279" s="27"/>
      <c r="B279" s="27"/>
      <c r="D279" s="27"/>
      <c r="F279" s="27"/>
      <c r="K279" s="27"/>
    </row>
    <row r="280" spans="1:11">
      <c r="A280" s="27"/>
      <c r="B280" s="27"/>
      <c r="D280" s="27"/>
      <c r="F280" s="27"/>
      <c r="K280" s="27"/>
    </row>
    <row r="281" spans="1:11">
      <c r="A281" s="27"/>
      <c r="B281" s="27"/>
      <c r="D281" s="27"/>
      <c r="F281" s="27"/>
      <c r="K281" s="27"/>
    </row>
    <row r="282" spans="1:11">
      <c r="A282" s="27"/>
      <c r="B282" s="27"/>
      <c r="D282" s="27"/>
      <c r="F282" s="27"/>
      <c r="K282" s="27"/>
    </row>
    <row r="283" spans="1:11">
      <c r="A283" s="27"/>
      <c r="B283" s="27"/>
      <c r="D283" s="27"/>
      <c r="F283" s="27"/>
      <c r="K283" s="27"/>
    </row>
    <row r="284" spans="1:11">
      <c r="A284" s="27"/>
      <c r="B284" s="27"/>
      <c r="D284" s="27"/>
      <c r="F284" s="27"/>
      <c r="K284" s="27"/>
    </row>
    <row r="285" spans="1:11">
      <c r="A285" s="27"/>
      <c r="B285" s="27"/>
      <c r="D285" s="27"/>
      <c r="F285" s="27"/>
      <c r="K285" s="27"/>
    </row>
    <row r="286" spans="1:11">
      <c r="A286" s="27"/>
      <c r="B286" s="27"/>
      <c r="D286" s="27"/>
      <c r="F286" s="27"/>
      <c r="K286" s="27"/>
    </row>
    <row r="287" spans="1:11">
      <c r="A287" s="27"/>
      <c r="B287" s="27"/>
      <c r="D287" s="27"/>
      <c r="F287" s="27"/>
      <c r="K287" s="27"/>
    </row>
    <row r="288" spans="1:11">
      <c r="A288" s="27"/>
      <c r="B288" s="27"/>
      <c r="D288" s="27"/>
      <c r="F288" s="27"/>
      <c r="K288" s="27"/>
    </row>
    <row r="289" spans="1:11">
      <c r="A289" s="27"/>
      <c r="B289" s="27"/>
      <c r="D289" s="27"/>
      <c r="F289" s="27"/>
      <c r="K289" s="27"/>
    </row>
    <row r="290" spans="1:11">
      <c r="A290" s="27"/>
      <c r="B290" s="27"/>
      <c r="D290" s="27"/>
      <c r="F290" s="27"/>
      <c r="K290" s="27"/>
    </row>
    <row r="291" spans="1:11">
      <c r="A291" s="27"/>
      <c r="B291" s="27"/>
      <c r="D291" s="27"/>
      <c r="F291" s="27"/>
      <c r="K291" s="27"/>
    </row>
    <row r="292" spans="1:11">
      <c r="A292" s="27"/>
      <c r="B292" s="27"/>
      <c r="D292" s="27"/>
      <c r="F292" s="27"/>
      <c r="K292" s="27"/>
    </row>
    <row r="293" spans="1:11">
      <c r="A293" s="27"/>
      <c r="B293" s="27"/>
      <c r="D293" s="27"/>
      <c r="F293" s="27"/>
      <c r="K293" s="27"/>
    </row>
    <row r="294" spans="1:11">
      <c r="A294" s="27"/>
      <c r="B294" s="27"/>
      <c r="D294" s="27"/>
      <c r="F294" s="27"/>
      <c r="K294" s="27"/>
    </row>
    <row r="295" spans="1:11">
      <c r="A295" s="27"/>
      <c r="B295" s="27"/>
      <c r="D295" s="27"/>
      <c r="F295" s="27"/>
      <c r="K295" s="27"/>
    </row>
    <row r="296" spans="1:11">
      <c r="A296" s="27"/>
      <c r="B296" s="27"/>
      <c r="D296" s="27"/>
      <c r="F296" s="27"/>
      <c r="K296" s="27"/>
    </row>
    <row r="297" spans="1:11">
      <c r="A297" s="27"/>
      <c r="B297" s="27"/>
      <c r="D297" s="27"/>
      <c r="F297" s="27"/>
      <c r="K297" s="27"/>
    </row>
    <row r="298" spans="1:11">
      <c r="A298" s="27"/>
      <c r="B298" s="27"/>
      <c r="D298" s="27"/>
      <c r="F298" s="27"/>
      <c r="K298" s="27"/>
    </row>
    <row r="299" spans="1:11">
      <c r="A299" s="27"/>
      <c r="B299" s="27"/>
      <c r="D299" s="27"/>
      <c r="F299" s="27"/>
      <c r="K299" s="27"/>
    </row>
    <row r="300" spans="1:11">
      <c r="A300" s="27"/>
      <c r="B300" s="27"/>
      <c r="D300" s="27"/>
      <c r="F300" s="27"/>
      <c r="K300" s="27"/>
    </row>
    <row r="301" spans="1:11">
      <c r="A301" s="27"/>
      <c r="B301" s="27"/>
      <c r="D301" s="27"/>
      <c r="F301" s="27"/>
      <c r="K301" s="27"/>
    </row>
    <row r="302" spans="1:11">
      <c r="A302" s="27"/>
      <c r="B302" s="27"/>
      <c r="D302" s="27"/>
      <c r="F302" s="27"/>
      <c r="K302" s="27"/>
    </row>
    <row r="303" spans="1:11">
      <c r="A303" s="27"/>
      <c r="B303" s="27"/>
      <c r="D303" s="27"/>
      <c r="F303" s="27"/>
      <c r="K303" s="27"/>
    </row>
    <row r="304" spans="1:11">
      <c r="A304" s="27"/>
      <c r="B304" s="27"/>
      <c r="D304" s="27"/>
      <c r="F304" s="27"/>
      <c r="K304" s="27"/>
    </row>
    <row r="305" spans="1:11">
      <c r="A305" s="27"/>
      <c r="B305" s="27"/>
      <c r="D305" s="27"/>
      <c r="F305" s="27"/>
      <c r="K305" s="27"/>
    </row>
    <row r="306" spans="1:11">
      <c r="A306" s="27"/>
      <c r="B306" s="27"/>
      <c r="D306" s="27"/>
      <c r="F306" s="27"/>
      <c r="K306" s="27"/>
    </row>
    <row r="307" spans="1:11">
      <c r="A307" s="27"/>
      <c r="B307" s="27"/>
      <c r="D307" s="27"/>
      <c r="F307" s="27"/>
      <c r="K307" s="27"/>
    </row>
    <row r="308" spans="1:11">
      <c r="A308" s="27"/>
      <c r="B308" s="27"/>
      <c r="D308" s="27"/>
      <c r="F308" s="27"/>
      <c r="K308" s="27"/>
    </row>
    <row r="309" spans="1:11">
      <c r="A309" s="27"/>
      <c r="B309" s="27"/>
      <c r="D309" s="27"/>
      <c r="F309" s="27"/>
      <c r="K309" s="27"/>
    </row>
    <row r="310" spans="1:11">
      <c r="A310" s="27"/>
      <c r="B310" s="27"/>
      <c r="D310" s="27"/>
      <c r="F310" s="27"/>
      <c r="K310" s="27"/>
    </row>
    <row r="311" spans="1:11">
      <c r="A311" s="27"/>
      <c r="B311" s="27"/>
      <c r="D311" s="27"/>
      <c r="F311" s="27"/>
      <c r="K311" s="27"/>
    </row>
    <row r="312" spans="1:11">
      <c r="A312" s="27"/>
      <c r="B312" s="27"/>
      <c r="D312" s="27"/>
      <c r="F312" s="27"/>
      <c r="K312" s="27"/>
    </row>
    <row r="313" spans="1:11">
      <c r="A313" s="27"/>
      <c r="B313" s="27"/>
      <c r="D313" s="27"/>
      <c r="F313" s="27"/>
      <c r="K313" s="27"/>
    </row>
    <row r="314" spans="1:11">
      <c r="A314" s="27"/>
      <c r="B314" s="27"/>
      <c r="D314" s="27"/>
      <c r="F314" s="27"/>
      <c r="K314" s="27"/>
    </row>
    <row r="315" spans="1:11">
      <c r="A315" s="27"/>
      <c r="B315" s="27"/>
      <c r="D315" s="27"/>
      <c r="F315" s="27"/>
      <c r="K315" s="27"/>
    </row>
    <row r="316" spans="1:11">
      <c r="A316" s="27"/>
      <c r="B316" s="27"/>
      <c r="D316" s="27"/>
      <c r="F316" s="27"/>
      <c r="K316" s="27"/>
    </row>
    <row r="317" spans="1:11">
      <c r="A317" s="27"/>
      <c r="B317" s="27"/>
      <c r="D317" s="27"/>
      <c r="F317" s="27"/>
      <c r="K317" s="27"/>
    </row>
    <row r="318" spans="1:11">
      <c r="A318" s="27"/>
      <c r="B318" s="27"/>
      <c r="D318" s="27"/>
      <c r="F318" s="27"/>
      <c r="K318" s="27"/>
    </row>
    <row r="319" spans="1:11">
      <c r="A319" s="27"/>
      <c r="B319" s="27"/>
      <c r="D319" s="27"/>
      <c r="F319" s="27"/>
      <c r="K319" s="27"/>
    </row>
    <row r="320" spans="1:11">
      <c r="A320" s="27"/>
      <c r="B320" s="27"/>
      <c r="D320" s="27"/>
      <c r="F320" s="27"/>
      <c r="K320" s="27"/>
    </row>
    <row r="321" spans="1:11">
      <c r="A321" s="27"/>
      <c r="B321" s="27"/>
      <c r="D321" s="27"/>
      <c r="F321" s="27"/>
      <c r="K321" s="27"/>
    </row>
    <row r="322" spans="1:11">
      <c r="A322" s="27"/>
      <c r="B322" s="27"/>
      <c r="D322" s="27"/>
      <c r="F322" s="27"/>
      <c r="K322" s="27"/>
    </row>
    <row r="323" spans="1:11">
      <c r="A323" s="27"/>
      <c r="B323" s="27"/>
      <c r="D323" s="27"/>
      <c r="F323" s="27"/>
      <c r="K323" s="27"/>
    </row>
    <row r="324" spans="1:11">
      <c r="A324" s="27"/>
      <c r="B324" s="27"/>
      <c r="D324" s="27"/>
      <c r="F324" s="27"/>
      <c r="K324" s="27"/>
    </row>
    <row r="325" spans="1:11">
      <c r="A325" s="27"/>
      <c r="B325" s="27"/>
      <c r="D325" s="27"/>
      <c r="F325" s="27"/>
      <c r="K325" s="27"/>
    </row>
    <row r="326" spans="1:11">
      <c r="A326" s="27"/>
      <c r="B326" s="27"/>
      <c r="D326" s="27"/>
      <c r="F326" s="27"/>
      <c r="K326" s="27"/>
    </row>
    <row r="327" spans="1:11">
      <c r="A327" s="27"/>
      <c r="B327" s="27"/>
      <c r="D327" s="27"/>
      <c r="F327" s="27"/>
      <c r="K327" s="27"/>
    </row>
    <row r="328" spans="1:11">
      <c r="A328" s="27"/>
      <c r="B328" s="27"/>
      <c r="D328" s="27"/>
      <c r="F328" s="27"/>
      <c r="K328" s="27"/>
    </row>
    <row r="329" spans="1:11">
      <c r="A329" s="27"/>
      <c r="B329" s="27"/>
      <c r="D329" s="27"/>
      <c r="F329" s="27"/>
      <c r="K329" s="27"/>
    </row>
    <row r="330" spans="1:11">
      <c r="A330" s="27"/>
      <c r="B330" s="27"/>
      <c r="D330" s="27"/>
      <c r="F330" s="27"/>
      <c r="K330" s="27"/>
    </row>
    <row r="331" spans="1:11">
      <c r="A331" s="27"/>
      <c r="B331" s="27"/>
      <c r="D331" s="27"/>
      <c r="F331" s="27"/>
      <c r="K331" s="27"/>
    </row>
    <row r="332" spans="1:11">
      <c r="A332" s="27"/>
      <c r="B332" s="27"/>
      <c r="D332" s="27"/>
      <c r="F332" s="27"/>
      <c r="K332" s="27"/>
    </row>
    <row r="333" spans="1:11">
      <c r="A333" s="27"/>
      <c r="B333" s="27"/>
      <c r="D333" s="27"/>
      <c r="F333" s="27"/>
      <c r="K333" s="27"/>
    </row>
    <row r="334" spans="1:11">
      <c r="A334" s="27"/>
      <c r="B334" s="27"/>
      <c r="D334" s="27"/>
      <c r="F334" s="27"/>
      <c r="K334" s="27"/>
    </row>
    <row r="335" spans="1:11">
      <c r="A335" s="27"/>
      <c r="B335" s="27"/>
      <c r="D335" s="27"/>
      <c r="F335" s="27"/>
      <c r="K335" s="27"/>
    </row>
    <row r="336" spans="1:11">
      <c r="A336" s="27"/>
      <c r="B336" s="27"/>
      <c r="D336" s="27"/>
      <c r="F336" s="27"/>
      <c r="K336" s="27"/>
    </row>
    <row r="337" spans="1:11">
      <c r="A337" s="27"/>
      <c r="B337" s="27"/>
      <c r="D337" s="27"/>
      <c r="F337" s="27"/>
      <c r="K337" s="27"/>
    </row>
    <row r="338" spans="1:11">
      <c r="A338" s="27"/>
      <c r="B338" s="27"/>
      <c r="D338" s="27"/>
      <c r="F338" s="27"/>
      <c r="K338" s="27"/>
    </row>
    <row r="339" spans="1:11">
      <c r="A339" s="27"/>
      <c r="B339" s="27"/>
      <c r="D339" s="27"/>
      <c r="F339" s="27"/>
      <c r="K339" s="27"/>
    </row>
    <row r="340" spans="1:11">
      <c r="A340" s="27"/>
      <c r="B340" s="27"/>
      <c r="D340" s="27"/>
      <c r="F340" s="27"/>
      <c r="K340" s="27"/>
    </row>
    <row r="341" spans="1:11">
      <c r="A341" s="27"/>
      <c r="B341" s="27"/>
      <c r="D341" s="27"/>
      <c r="F341" s="27"/>
      <c r="K341" s="27"/>
    </row>
    <row r="342" spans="1:11">
      <c r="A342" s="27"/>
      <c r="B342" s="27"/>
      <c r="D342" s="27"/>
      <c r="F342" s="27"/>
      <c r="K342" s="27"/>
    </row>
    <row r="343" spans="1:11">
      <c r="A343" s="27"/>
      <c r="B343" s="27"/>
      <c r="D343" s="27"/>
      <c r="F343" s="27"/>
      <c r="K343" s="27"/>
    </row>
    <row r="344" spans="1:11">
      <c r="A344" s="27"/>
      <c r="B344" s="27"/>
      <c r="D344" s="27"/>
      <c r="F344" s="27"/>
      <c r="K344" s="27"/>
    </row>
    <row r="345" spans="1:11">
      <c r="A345" s="27"/>
      <c r="B345" s="27"/>
      <c r="D345" s="27"/>
      <c r="F345" s="27"/>
      <c r="K345" s="27"/>
    </row>
    <row r="346" spans="1:11">
      <c r="A346" s="27"/>
      <c r="B346" s="27"/>
      <c r="D346" s="27"/>
      <c r="F346" s="27"/>
      <c r="K346" s="27"/>
    </row>
    <row r="347" spans="1:11">
      <c r="A347" s="27"/>
      <c r="B347" s="27"/>
      <c r="D347" s="27"/>
      <c r="F347" s="27"/>
      <c r="K347" s="27"/>
    </row>
    <row r="348" spans="1:11">
      <c r="A348" s="27"/>
      <c r="B348" s="27"/>
      <c r="D348" s="27"/>
      <c r="F348" s="27"/>
      <c r="K348" s="27"/>
    </row>
    <row r="349" spans="1:11">
      <c r="A349" s="27"/>
      <c r="B349" s="27"/>
      <c r="D349" s="27"/>
      <c r="F349" s="27"/>
      <c r="K349" s="27"/>
    </row>
    <row r="350" spans="1:11">
      <c r="A350" s="27"/>
      <c r="B350" s="27"/>
      <c r="D350" s="27"/>
      <c r="F350" s="27"/>
      <c r="K350" s="27"/>
    </row>
    <row r="351" spans="1:11">
      <c r="A351" s="27"/>
      <c r="B351" s="27"/>
      <c r="D351" s="27"/>
      <c r="F351" s="27"/>
      <c r="K351" s="27"/>
    </row>
    <row r="352" spans="1:11">
      <c r="A352" s="27"/>
      <c r="B352" s="27"/>
      <c r="D352" s="27"/>
      <c r="F352" s="27"/>
      <c r="K352" s="27"/>
    </row>
    <row r="353" spans="1:11">
      <c r="A353" s="27"/>
      <c r="B353" s="27"/>
      <c r="D353" s="27"/>
      <c r="F353" s="27"/>
      <c r="K353" s="27"/>
    </row>
    <row r="354" spans="1:11">
      <c r="A354" s="27"/>
      <c r="B354" s="27"/>
      <c r="D354" s="27"/>
      <c r="F354" s="27"/>
      <c r="K354" s="27"/>
    </row>
    <row r="355" spans="1:11">
      <c r="A355" s="27"/>
      <c r="B355" s="27"/>
      <c r="D355" s="27"/>
      <c r="F355" s="27"/>
      <c r="K355" s="27"/>
    </row>
    <row r="356" spans="1:11">
      <c r="A356" s="27"/>
      <c r="B356" s="27"/>
      <c r="D356" s="27"/>
      <c r="F356" s="27"/>
      <c r="K356" s="27"/>
    </row>
    <row r="357" spans="1:11">
      <c r="A357" s="27"/>
      <c r="B357" s="27"/>
      <c r="D357" s="27"/>
      <c r="F357" s="27"/>
      <c r="K357" s="27"/>
    </row>
    <row r="358" spans="1:11">
      <c r="A358" s="27"/>
      <c r="B358" s="27"/>
      <c r="D358" s="27"/>
      <c r="F358" s="27"/>
      <c r="K358" s="27"/>
    </row>
    <row r="359" spans="1:11">
      <c r="A359" s="27"/>
      <c r="B359" s="27"/>
      <c r="D359" s="27"/>
      <c r="F359" s="27"/>
      <c r="K359" s="27"/>
    </row>
    <row r="360" spans="1:11">
      <c r="A360" s="27"/>
      <c r="B360" s="27"/>
      <c r="D360" s="27"/>
      <c r="F360" s="27"/>
      <c r="K360" s="27"/>
    </row>
    <row r="361" spans="1:11">
      <c r="A361" s="27"/>
      <c r="B361" s="27"/>
      <c r="D361" s="27"/>
      <c r="F361" s="27"/>
      <c r="K361" s="27"/>
    </row>
    <row r="362" spans="1:11">
      <c r="A362" s="27"/>
      <c r="B362" s="27"/>
      <c r="D362" s="27"/>
      <c r="F362" s="27"/>
      <c r="K362" s="27"/>
    </row>
    <row r="363" spans="1:11">
      <c r="A363" s="27"/>
      <c r="B363" s="27"/>
      <c r="D363" s="27"/>
      <c r="F363" s="27"/>
      <c r="K363" s="27"/>
    </row>
    <row r="364" spans="1:11">
      <c r="A364" s="27"/>
      <c r="B364" s="27"/>
      <c r="D364" s="27"/>
      <c r="F364" s="27"/>
      <c r="K364" s="27"/>
    </row>
    <row r="365" spans="1:11">
      <c r="A365" s="27"/>
      <c r="B365" s="27"/>
      <c r="D365" s="27"/>
      <c r="F365" s="27"/>
      <c r="K365" s="27"/>
    </row>
    <row r="366" spans="1:11">
      <c r="A366" s="27"/>
      <c r="B366" s="27"/>
      <c r="D366" s="27"/>
      <c r="F366" s="27"/>
      <c r="K366" s="27"/>
    </row>
    <row r="367" spans="1:11">
      <c r="A367" s="27"/>
      <c r="B367" s="27"/>
      <c r="D367" s="27"/>
      <c r="F367" s="27"/>
      <c r="K367" s="27"/>
    </row>
    <row r="368" spans="1:11">
      <c r="A368" s="27"/>
      <c r="B368" s="27"/>
      <c r="D368" s="27"/>
      <c r="F368" s="27"/>
      <c r="K368" s="27"/>
    </row>
    <row r="369" spans="1:11">
      <c r="A369" s="27"/>
      <c r="B369" s="27"/>
      <c r="D369" s="27"/>
      <c r="F369" s="27"/>
      <c r="K369" s="27"/>
    </row>
    <row r="370" spans="1:11">
      <c r="A370" s="27"/>
      <c r="B370" s="27"/>
      <c r="D370" s="27"/>
      <c r="F370" s="27"/>
      <c r="K370" s="27"/>
    </row>
    <row r="371" spans="1:11">
      <c r="A371" s="27"/>
      <c r="B371" s="27"/>
      <c r="D371" s="27"/>
      <c r="F371" s="27"/>
      <c r="K371" s="27"/>
    </row>
    <row r="372" spans="1:11">
      <c r="A372" s="27"/>
      <c r="B372" s="27"/>
      <c r="D372" s="27"/>
      <c r="F372" s="27"/>
      <c r="K372" s="27"/>
    </row>
    <row r="373" spans="1:11">
      <c r="A373" s="27"/>
      <c r="B373" s="27"/>
      <c r="D373" s="27"/>
      <c r="F373" s="27"/>
      <c r="K373" s="27"/>
    </row>
    <row r="374" spans="1:11">
      <c r="A374" s="27"/>
      <c r="B374" s="27"/>
      <c r="D374" s="27"/>
      <c r="F374" s="27"/>
      <c r="K374" s="27"/>
    </row>
    <row r="375" spans="1:11">
      <c r="A375" s="27"/>
      <c r="B375" s="27"/>
      <c r="D375" s="27"/>
      <c r="F375" s="27"/>
      <c r="K375" s="27"/>
    </row>
    <row r="376" spans="1:11">
      <c r="A376" s="27"/>
      <c r="B376" s="27"/>
      <c r="D376" s="27"/>
      <c r="F376" s="27"/>
      <c r="K376" s="27"/>
    </row>
    <row r="377" spans="1:11">
      <c r="A377" s="27"/>
      <c r="B377" s="27"/>
      <c r="D377" s="27"/>
      <c r="F377" s="27"/>
      <c r="K377" s="27"/>
    </row>
    <row r="378" spans="1:11">
      <c r="A378" s="27"/>
      <c r="B378" s="27"/>
      <c r="D378" s="27"/>
      <c r="F378" s="27"/>
      <c r="K378" s="27"/>
    </row>
    <row r="379" spans="1:11">
      <c r="A379" s="27"/>
      <c r="B379" s="27"/>
      <c r="D379" s="27"/>
      <c r="F379" s="27"/>
      <c r="K379" s="27"/>
    </row>
    <row r="380" spans="1:11">
      <c r="A380" s="27"/>
      <c r="B380" s="27"/>
      <c r="D380" s="27"/>
      <c r="F380" s="27"/>
      <c r="K380" s="27"/>
    </row>
    <row r="381" spans="1:11">
      <c r="A381" s="27"/>
      <c r="B381" s="27"/>
      <c r="D381" s="27"/>
      <c r="F381" s="27"/>
      <c r="K381" s="27"/>
    </row>
    <row r="382" spans="1:11">
      <c r="A382" s="27"/>
      <c r="B382" s="27"/>
      <c r="D382" s="27"/>
      <c r="F382" s="27"/>
      <c r="K382" s="27"/>
    </row>
    <row r="383" spans="1:11">
      <c r="A383" s="27"/>
      <c r="B383" s="27"/>
      <c r="D383" s="27"/>
      <c r="F383" s="27"/>
      <c r="K383" s="27"/>
    </row>
    <row r="384" spans="1:11">
      <c r="A384" s="27"/>
      <c r="B384" s="27"/>
      <c r="D384" s="27"/>
      <c r="F384" s="27"/>
      <c r="K384" s="27"/>
    </row>
    <row r="385" spans="1:11">
      <c r="A385" s="27"/>
      <c r="B385" s="27"/>
      <c r="D385" s="27"/>
      <c r="F385" s="27"/>
      <c r="K385" s="27"/>
    </row>
    <row r="386" spans="1:11">
      <c r="A386" s="27"/>
      <c r="B386" s="27"/>
      <c r="D386" s="27"/>
      <c r="F386" s="27"/>
      <c r="K386" s="27"/>
    </row>
    <row r="387" spans="1:11">
      <c r="A387" s="27"/>
      <c r="B387" s="27"/>
      <c r="D387" s="27"/>
      <c r="F387" s="27"/>
      <c r="K387" s="27"/>
    </row>
    <row r="388" spans="1:11">
      <c r="A388" s="27"/>
      <c r="B388" s="27"/>
      <c r="D388" s="27"/>
      <c r="F388" s="27"/>
      <c r="K388" s="27"/>
    </row>
    <row r="389" spans="1:11">
      <c r="A389" s="27"/>
      <c r="B389" s="27"/>
      <c r="D389" s="27"/>
      <c r="F389" s="27"/>
      <c r="K389" s="27"/>
    </row>
    <row r="390" spans="1:11">
      <c r="A390" s="27"/>
      <c r="B390" s="27"/>
      <c r="D390" s="27"/>
      <c r="F390" s="27"/>
      <c r="K390" s="27"/>
    </row>
    <row r="391" spans="1:11">
      <c r="A391" s="27"/>
      <c r="B391" s="27"/>
      <c r="D391" s="27"/>
      <c r="F391" s="27"/>
      <c r="K391" s="27"/>
    </row>
    <row r="392" spans="1:11">
      <c r="A392" s="27"/>
      <c r="B392" s="27"/>
      <c r="D392" s="27"/>
      <c r="F392" s="27"/>
      <c r="K392" s="27"/>
    </row>
    <row r="393" spans="1:11">
      <c r="A393" s="27"/>
      <c r="B393" s="27"/>
      <c r="D393" s="27"/>
      <c r="F393" s="27"/>
      <c r="K393" s="27"/>
    </row>
    <row r="394" spans="1:11">
      <c r="A394" s="27"/>
      <c r="B394" s="27"/>
      <c r="D394" s="27"/>
      <c r="F394" s="27"/>
      <c r="K394" s="27"/>
    </row>
    <row r="395" spans="1:11">
      <c r="A395" s="27"/>
      <c r="B395" s="27"/>
      <c r="D395" s="27"/>
      <c r="F395" s="27"/>
      <c r="K395" s="27"/>
    </row>
    <row r="396" spans="1:11">
      <c r="A396" s="27"/>
      <c r="B396" s="27"/>
      <c r="D396" s="27"/>
      <c r="F396" s="27"/>
      <c r="K396" s="27"/>
    </row>
    <row r="397" spans="1:11">
      <c r="A397" s="27"/>
      <c r="B397" s="27"/>
      <c r="D397" s="27"/>
      <c r="F397" s="27"/>
      <c r="K397" s="27"/>
    </row>
    <row r="398" spans="1:11">
      <c r="A398" s="27"/>
      <c r="B398" s="27"/>
      <c r="D398" s="27"/>
      <c r="F398" s="27"/>
      <c r="K398" s="27"/>
    </row>
    <row r="399" spans="1:11">
      <c r="A399" s="27"/>
      <c r="B399" s="27"/>
      <c r="D399" s="27"/>
      <c r="F399" s="27"/>
      <c r="K399" s="27"/>
    </row>
    <row r="400" spans="1:11">
      <c r="A400" s="27"/>
      <c r="B400" s="27"/>
      <c r="D400" s="27"/>
      <c r="F400" s="27"/>
      <c r="K400" s="27"/>
    </row>
    <row r="401" spans="1:11">
      <c r="A401" s="27"/>
      <c r="B401" s="27"/>
      <c r="D401" s="27"/>
      <c r="F401" s="27"/>
      <c r="K401" s="27"/>
    </row>
    <row r="402" spans="1:11">
      <c r="A402" s="27"/>
      <c r="B402" s="27"/>
      <c r="D402" s="27"/>
      <c r="F402" s="27"/>
      <c r="K402" s="27"/>
    </row>
    <row r="403" spans="1:11">
      <c r="A403" s="27"/>
      <c r="B403" s="27"/>
      <c r="D403" s="27"/>
      <c r="F403" s="27"/>
      <c r="K403" s="27"/>
    </row>
    <row r="404" spans="1:11">
      <c r="A404" s="27"/>
      <c r="B404" s="27"/>
      <c r="D404" s="27"/>
      <c r="F404" s="27"/>
      <c r="K404" s="27"/>
    </row>
    <row r="405" spans="1:11">
      <c r="A405" s="27"/>
      <c r="B405" s="27"/>
      <c r="D405" s="27"/>
      <c r="F405" s="27"/>
      <c r="K405" s="27"/>
    </row>
    <row r="406" spans="1:11">
      <c r="A406" s="27"/>
      <c r="B406" s="27"/>
      <c r="D406" s="27"/>
      <c r="F406" s="27"/>
      <c r="K406" s="27"/>
    </row>
    <row r="407" spans="1:11">
      <c r="A407" s="27"/>
      <c r="B407" s="27"/>
      <c r="D407" s="27"/>
      <c r="F407" s="27"/>
      <c r="K407" s="27"/>
    </row>
    <row r="408" spans="1:11">
      <c r="A408" s="27"/>
      <c r="B408" s="27"/>
      <c r="D408" s="27"/>
      <c r="F408" s="27"/>
      <c r="K408" s="27"/>
    </row>
    <row r="409" spans="1:11">
      <c r="A409" s="27"/>
      <c r="B409" s="27"/>
      <c r="D409" s="27"/>
      <c r="F409" s="27"/>
      <c r="K409" s="27"/>
    </row>
    <row r="410" spans="1:11">
      <c r="A410" s="27"/>
      <c r="B410" s="27"/>
      <c r="D410" s="27"/>
      <c r="F410" s="27"/>
      <c r="K410" s="27"/>
    </row>
    <row r="411" spans="1:11">
      <c r="A411" s="27"/>
      <c r="B411" s="27"/>
      <c r="D411" s="27"/>
      <c r="F411" s="27"/>
      <c r="K411" s="27"/>
    </row>
    <row r="412" spans="1:11">
      <c r="A412" s="27"/>
      <c r="B412" s="27"/>
      <c r="D412" s="27"/>
      <c r="F412" s="27"/>
      <c r="K412" s="27"/>
    </row>
    <row r="413" spans="1:11">
      <c r="A413" s="27"/>
      <c r="B413" s="27"/>
      <c r="D413" s="27"/>
      <c r="F413" s="27"/>
      <c r="K413" s="27"/>
    </row>
    <row r="414" spans="1:11">
      <c r="A414" s="27"/>
      <c r="B414" s="27"/>
      <c r="D414" s="27"/>
      <c r="F414" s="27"/>
      <c r="K414" s="27"/>
    </row>
    <row r="415" spans="1:11">
      <c r="A415" s="27"/>
      <c r="B415" s="27"/>
      <c r="D415" s="27"/>
      <c r="F415" s="27"/>
      <c r="K415" s="27"/>
    </row>
    <row r="416" spans="1:11">
      <c r="A416" s="27"/>
      <c r="B416" s="27"/>
      <c r="D416" s="27"/>
      <c r="F416" s="27"/>
      <c r="K416" s="27"/>
    </row>
    <row r="417" spans="1:11">
      <c r="A417" s="27"/>
      <c r="B417" s="27"/>
      <c r="D417" s="27"/>
      <c r="F417" s="27"/>
      <c r="K417" s="27"/>
    </row>
    <row r="418" spans="1:11">
      <c r="A418" s="27"/>
      <c r="B418" s="27"/>
      <c r="D418" s="27"/>
      <c r="F418" s="27"/>
      <c r="K418" s="27"/>
    </row>
    <row r="419" spans="1:11">
      <c r="A419" s="27"/>
      <c r="B419" s="27"/>
      <c r="D419" s="27"/>
      <c r="F419" s="27"/>
      <c r="K419" s="27"/>
    </row>
    <row r="420" spans="1:11">
      <c r="A420" s="27"/>
      <c r="B420" s="27"/>
      <c r="D420" s="27"/>
      <c r="F420" s="27"/>
      <c r="K420" s="27"/>
    </row>
    <row r="421" spans="1:11">
      <c r="A421" s="27"/>
      <c r="B421" s="27"/>
      <c r="D421" s="27"/>
      <c r="F421" s="27"/>
      <c r="K421" s="27"/>
    </row>
    <row r="422" spans="1:11">
      <c r="A422" s="27"/>
      <c r="B422" s="27"/>
      <c r="D422" s="27"/>
      <c r="F422" s="27"/>
      <c r="K422" s="27"/>
    </row>
    <row r="423" spans="1:11">
      <c r="A423" s="27"/>
      <c r="B423" s="27"/>
      <c r="D423" s="27"/>
      <c r="F423" s="27"/>
      <c r="K423" s="27"/>
    </row>
    <row r="424" spans="1:11">
      <c r="A424" s="27"/>
      <c r="B424" s="27"/>
      <c r="D424" s="27"/>
      <c r="F424" s="27"/>
      <c r="K424" s="27"/>
    </row>
    <row r="425" spans="1:11">
      <c r="A425" s="27"/>
      <c r="B425" s="27"/>
      <c r="D425" s="27"/>
      <c r="F425" s="27"/>
      <c r="K425" s="27"/>
    </row>
    <row r="426" spans="1:11">
      <c r="A426" s="27"/>
      <c r="B426" s="27"/>
      <c r="D426" s="27"/>
      <c r="F426" s="27"/>
      <c r="K426" s="27"/>
    </row>
    <row r="427" spans="1:11">
      <c r="A427" s="27"/>
      <c r="B427" s="27"/>
      <c r="D427" s="27"/>
      <c r="F427" s="27"/>
      <c r="K427" s="27"/>
    </row>
    <row r="428" spans="1:11">
      <c r="A428" s="27"/>
      <c r="B428" s="27"/>
      <c r="D428" s="27"/>
      <c r="F428" s="27"/>
      <c r="K428" s="27"/>
    </row>
    <row r="429" spans="1:11">
      <c r="A429" s="27"/>
      <c r="B429" s="27"/>
      <c r="D429" s="27"/>
      <c r="F429" s="27"/>
      <c r="K429" s="27"/>
    </row>
    <row r="430" spans="1:11">
      <c r="A430" s="27"/>
      <c r="B430" s="27"/>
      <c r="D430" s="27"/>
      <c r="F430" s="27"/>
      <c r="K430" s="27"/>
    </row>
    <row r="431" spans="1:11">
      <c r="A431" s="27"/>
      <c r="B431" s="27"/>
      <c r="D431" s="27"/>
      <c r="F431" s="27"/>
      <c r="K431" s="27"/>
    </row>
    <row r="432" spans="1:11">
      <c r="A432" s="27"/>
      <c r="B432" s="27"/>
      <c r="D432" s="27"/>
      <c r="F432" s="27"/>
      <c r="K432" s="27"/>
    </row>
    <row r="433" spans="1:11">
      <c r="A433" s="27"/>
      <c r="B433" s="27"/>
      <c r="D433" s="27"/>
      <c r="F433" s="27"/>
      <c r="K433" s="27"/>
    </row>
    <row r="434" spans="1:11">
      <c r="A434" s="27"/>
      <c r="B434" s="27"/>
      <c r="D434" s="27"/>
      <c r="F434" s="27"/>
      <c r="K434" s="27"/>
    </row>
    <row r="435" spans="1:11">
      <c r="A435" s="27"/>
      <c r="B435" s="27"/>
      <c r="D435" s="27"/>
      <c r="F435" s="27"/>
      <c r="K435" s="27"/>
    </row>
    <row r="436" spans="1:11">
      <c r="A436" s="27"/>
      <c r="B436" s="27"/>
      <c r="D436" s="27"/>
      <c r="F436" s="27"/>
      <c r="K436" s="27"/>
    </row>
    <row r="437" spans="1:11">
      <c r="A437" s="27"/>
      <c r="B437" s="27"/>
      <c r="D437" s="27"/>
      <c r="F437" s="27"/>
      <c r="K437" s="27"/>
    </row>
    <row r="438" spans="1:11">
      <c r="A438" s="27"/>
      <c r="B438" s="27"/>
      <c r="D438" s="27"/>
      <c r="F438" s="27"/>
      <c r="K438" s="27"/>
    </row>
    <row r="439" spans="1:11">
      <c r="A439" s="27"/>
      <c r="B439" s="27"/>
      <c r="D439" s="27"/>
      <c r="F439" s="27"/>
      <c r="K439" s="27"/>
    </row>
    <row r="440" spans="1:11">
      <c r="A440" s="27"/>
      <c r="B440" s="27"/>
      <c r="D440" s="27"/>
      <c r="F440" s="27"/>
      <c r="K440" s="27"/>
    </row>
    <row r="441" spans="1:11">
      <c r="A441" s="27"/>
      <c r="B441" s="27"/>
      <c r="D441" s="27"/>
      <c r="F441" s="27"/>
      <c r="K441" s="27"/>
    </row>
    <row r="442" spans="1:11">
      <c r="A442" s="27"/>
      <c r="B442" s="27"/>
      <c r="D442" s="27"/>
      <c r="F442" s="27"/>
      <c r="K442" s="27"/>
    </row>
    <row r="443" spans="1:11">
      <c r="A443" s="27"/>
      <c r="B443" s="27"/>
      <c r="D443" s="27"/>
      <c r="F443" s="27"/>
      <c r="K443" s="27"/>
    </row>
    <row r="444" spans="1:11">
      <c r="A444" s="27"/>
      <c r="B444" s="27"/>
      <c r="D444" s="27"/>
      <c r="F444" s="27"/>
      <c r="K444" s="27"/>
    </row>
    <row r="445" spans="1:11">
      <c r="A445" s="27"/>
      <c r="B445" s="27"/>
      <c r="D445" s="27"/>
      <c r="F445" s="27"/>
      <c r="K445" s="27"/>
    </row>
    <row r="446" spans="1:11">
      <c r="A446" s="27"/>
      <c r="B446" s="27"/>
      <c r="D446" s="27"/>
      <c r="F446" s="27"/>
      <c r="K446" s="27"/>
    </row>
    <row r="447" spans="1:11">
      <c r="A447" s="27"/>
      <c r="B447" s="27"/>
      <c r="D447" s="27"/>
      <c r="F447" s="27"/>
      <c r="K447" s="27"/>
    </row>
    <row r="448" spans="1:11">
      <c r="A448" s="27"/>
      <c r="B448" s="27"/>
      <c r="D448" s="27"/>
      <c r="F448" s="27"/>
      <c r="K448" s="27"/>
    </row>
    <row r="449" spans="1:11">
      <c r="A449" s="27"/>
      <c r="B449" s="27"/>
      <c r="D449" s="27"/>
      <c r="F449" s="27"/>
      <c r="K449" s="27"/>
    </row>
    <row r="450" spans="1:11">
      <c r="A450" s="27"/>
      <c r="B450" s="27"/>
      <c r="D450" s="27"/>
      <c r="F450" s="27"/>
      <c r="K450" s="27"/>
    </row>
    <row r="451" spans="1:11">
      <c r="A451" s="27"/>
      <c r="B451" s="27"/>
      <c r="D451" s="27"/>
      <c r="F451" s="27"/>
      <c r="K451" s="27"/>
    </row>
    <row r="452" spans="1:11">
      <c r="A452" s="27"/>
      <c r="B452" s="27"/>
      <c r="D452" s="27"/>
      <c r="F452" s="27"/>
      <c r="K452" s="27"/>
    </row>
    <row r="453" spans="1:11">
      <c r="A453" s="27"/>
      <c r="B453" s="27"/>
      <c r="D453" s="27"/>
      <c r="F453" s="27"/>
      <c r="K453" s="27"/>
    </row>
    <row r="454" spans="1:11">
      <c r="A454" s="27"/>
      <c r="B454" s="27"/>
      <c r="D454" s="27"/>
      <c r="F454" s="27"/>
      <c r="K454" s="27"/>
    </row>
    <row r="455" spans="1:11">
      <c r="A455" s="27"/>
      <c r="B455" s="27"/>
      <c r="D455" s="27"/>
      <c r="F455" s="27"/>
      <c r="K455" s="27"/>
    </row>
    <row r="456" spans="1:11">
      <c r="A456" s="27"/>
      <c r="B456" s="27"/>
      <c r="D456" s="27"/>
      <c r="F456" s="27"/>
      <c r="K456" s="27"/>
    </row>
    <row r="457" spans="1:11">
      <c r="A457" s="27"/>
      <c r="B457" s="27"/>
      <c r="D457" s="27"/>
      <c r="F457" s="27"/>
      <c r="K457" s="27"/>
    </row>
    <row r="458" spans="1:11">
      <c r="A458" s="27"/>
      <c r="B458" s="27"/>
      <c r="D458" s="27"/>
      <c r="F458" s="27"/>
      <c r="K458" s="27"/>
    </row>
    <row r="459" spans="1:11">
      <c r="A459" s="27"/>
      <c r="B459" s="27"/>
      <c r="D459" s="27"/>
      <c r="F459" s="27"/>
      <c r="K459" s="27"/>
    </row>
    <row r="460" spans="1:11">
      <c r="A460" s="27"/>
      <c r="B460" s="27"/>
      <c r="D460" s="27"/>
      <c r="F460" s="27"/>
      <c r="K460" s="27"/>
    </row>
    <row r="461" spans="1:11">
      <c r="A461" s="27"/>
      <c r="B461" s="27"/>
      <c r="D461" s="27"/>
      <c r="F461" s="27"/>
      <c r="K461" s="27"/>
    </row>
    <row r="462" spans="1:11">
      <c r="A462" s="27"/>
      <c r="B462" s="27"/>
      <c r="D462" s="27"/>
      <c r="F462" s="27"/>
      <c r="K462" s="27"/>
    </row>
    <row r="463" spans="1:11">
      <c r="A463" s="27"/>
      <c r="B463" s="27"/>
      <c r="D463" s="27"/>
      <c r="F463" s="27"/>
      <c r="K463" s="27"/>
    </row>
    <row r="464" spans="1:11">
      <c r="A464" s="27"/>
      <c r="B464" s="27"/>
      <c r="D464" s="27"/>
      <c r="F464" s="27"/>
      <c r="K464" s="27"/>
    </row>
    <row r="465" spans="1:11">
      <c r="A465" s="27"/>
      <c r="B465" s="27"/>
      <c r="D465" s="27"/>
      <c r="F465" s="27"/>
      <c r="K465" s="27"/>
    </row>
    <row r="466" spans="1:11">
      <c r="A466" s="27"/>
      <c r="B466" s="27"/>
      <c r="D466" s="27"/>
      <c r="F466" s="27"/>
      <c r="K466" s="27"/>
    </row>
    <row r="467" spans="1:11">
      <c r="A467" s="27"/>
      <c r="B467" s="27"/>
      <c r="D467" s="27"/>
      <c r="F467" s="27"/>
      <c r="K467" s="27"/>
    </row>
    <row r="468" spans="1:11">
      <c r="A468" s="27"/>
      <c r="B468" s="27"/>
      <c r="D468" s="27"/>
      <c r="F468" s="27"/>
      <c r="K468" s="27"/>
    </row>
    <row r="469" spans="1:11">
      <c r="A469" s="27"/>
      <c r="B469" s="27"/>
      <c r="D469" s="27"/>
      <c r="F469" s="27"/>
      <c r="K469" s="27"/>
    </row>
    <row r="470" spans="1:11">
      <c r="A470" s="27"/>
      <c r="B470" s="27"/>
      <c r="D470" s="27"/>
      <c r="F470" s="27"/>
      <c r="K470" s="27"/>
    </row>
    <row r="471" spans="1:11">
      <c r="A471" s="27"/>
      <c r="B471" s="27"/>
      <c r="D471" s="27"/>
      <c r="F471" s="27"/>
      <c r="K471" s="27"/>
    </row>
    <row r="472" spans="1:11">
      <c r="A472" s="27"/>
      <c r="B472" s="27"/>
      <c r="D472" s="27"/>
      <c r="F472" s="27"/>
      <c r="K472" s="27"/>
    </row>
    <row r="473" spans="1:11">
      <c r="A473" s="27"/>
      <c r="B473" s="27"/>
      <c r="D473" s="27"/>
      <c r="F473" s="27"/>
      <c r="K473" s="27"/>
    </row>
    <row r="474" spans="1:11">
      <c r="A474" s="27"/>
      <c r="B474" s="27"/>
      <c r="D474" s="27"/>
      <c r="F474" s="27"/>
      <c r="K474" s="27"/>
    </row>
    <row r="475" spans="1:11">
      <c r="A475" s="27"/>
      <c r="B475" s="27"/>
      <c r="D475" s="27"/>
      <c r="F475" s="27"/>
      <c r="K475" s="27"/>
    </row>
    <row r="476" spans="1:11">
      <c r="A476" s="27"/>
      <c r="B476" s="27"/>
      <c r="D476" s="27"/>
      <c r="F476" s="27"/>
      <c r="K476" s="27"/>
    </row>
    <row r="477" spans="1:11">
      <c r="A477" s="27"/>
      <c r="B477" s="27"/>
      <c r="D477" s="27"/>
      <c r="F477" s="27"/>
      <c r="K477" s="27"/>
    </row>
    <row r="478" spans="1:11">
      <c r="A478" s="27"/>
      <c r="B478" s="27"/>
      <c r="D478" s="27"/>
      <c r="F478" s="27"/>
      <c r="K478" s="27"/>
    </row>
    <row r="479" spans="1:11">
      <c r="A479" s="27"/>
      <c r="B479" s="27"/>
      <c r="D479" s="27"/>
      <c r="F479" s="27"/>
      <c r="K479" s="27"/>
    </row>
    <row r="480" spans="1:11">
      <c r="A480" s="27"/>
      <c r="B480" s="27"/>
      <c r="D480" s="27"/>
      <c r="F480" s="27"/>
      <c r="K480" s="27"/>
    </row>
    <row r="481" spans="1:11">
      <c r="A481" s="27"/>
      <c r="B481" s="27"/>
      <c r="D481" s="27"/>
      <c r="F481" s="27"/>
      <c r="K481" s="27"/>
    </row>
    <row r="482" spans="1:11">
      <c r="A482" s="27"/>
      <c r="B482" s="27"/>
      <c r="D482" s="27"/>
      <c r="F482" s="27"/>
      <c r="K482" s="27"/>
    </row>
    <row r="483" spans="1:11">
      <c r="A483" s="27"/>
      <c r="B483" s="27"/>
      <c r="D483" s="27"/>
      <c r="F483" s="27"/>
      <c r="K483" s="27"/>
    </row>
    <row r="484" spans="1:11">
      <c r="A484" s="27"/>
      <c r="B484" s="27"/>
      <c r="D484" s="27"/>
      <c r="F484" s="27"/>
      <c r="K484" s="27"/>
    </row>
    <row r="485" spans="1:11">
      <c r="A485" s="27"/>
      <c r="B485" s="27"/>
      <c r="D485" s="27"/>
      <c r="F485" s="27"/>
      <c r="K485" s="27"/>
    </row>
    <row r="486" spans="1:11">
      <c r="A486" s="27"/>
      <c r="B486" s="27"/>
      <c r="D486" s="27"/>
      <c r="F486" s="27"/>
      <c r="K486" s="27"/>
    </row>
    <row r="487" spans="1:11">
      <c r="A487" s="27"/>
      <c r="B487" s="27"/>
      <c r="D487" s="27"/>
      <c r="F487" s="27"/>
      <c r="K487" s="27"/>
    </row>
    <row r="488" spans="1:11">
      <c r="A488" s="27"/>
      <c r="B488" s="27"/>
      <c r="D488" s="27"/>
      <c r="F488" s="27"/>
      <c r="K488" s="27"/>
    </row>
    <row r="489" spans="1:11">
      <c r="A489" s="27"/>
      <c r="B489" s="27"/>
      <c r="D489" s="27"/>
      <c r="F489" s="27"/>
      <c r="K489" s="27"/>
    </row>
    <row r="490" spans="1:11">
      <c r="A490" s="27"/>
      <c r="B490" s="27"/>
      <c r="D490" s="27"/>
      <c r="F490" s="27"/>
      <c r="K490" s="27"/>
    </row>
    <row r="491" spans="1:11">
      <c r="A491" s="27"/>
      <c r="B491" s="27"/>
      <c r="D491" s="27"/>
      <c r="F491" s="27"/>
      <c r="K491" s="27"/>
    </row>
    <row r="492" spans="1:11">
      <c r="A492" s="27"/>
      <c r="B492" s="27"/>
      <c r="D492" s="27"/>
      <c r="F492" s="27"/>
      <c r="K492" s="27"/>
    </row>
    <row r="493" spans="1:11">
      <c r="A493" s="27"/>
      <c r="B493" s="27"/>
      <c r="D493" s="27"/>
      <c r="F493" s="27"/>
      <c r="K493" s="27"/>
    </row>
    <row r="494" spans="1:11">
      <c r="A494" s="27"/>
      <c r="B494" s="27"/>
      <c r="D494" s="27"/>
      <c r="F494" s="27"/>
      <c r="K494" s="27"/>
    </row>
    <row r="495" spans="1:11">
      <c r="A495" s="27"/>
      <c r="B495" s="27"/>
      <c r="D495" s="27"/>
      <c r="F495" s="27"/>
      <c r="K495" s="27"/>
    </row>
    <row r="496" spans="1:11">
      <c r="A496" s="27"/>
      <c r="B496" s="27"/>
      <c r="D496" s="27"/>
      <c r="F496" s="27"/>
      <c r="K496" s="27"/>
    </row>
    <row r="497" spans="1:11">
      <c r="A497" s="27"/>
      <c r="B497" s="27"/>
      <c r="D497" s="27"/>
      <c r="F497" s="27"/>
      <c r="K497" s="27"/>
    </row>
    <row r="498" spans="1:11">
      <c r="A498" s="27"/>
      <c r="B498" s="27"/>
      <c r="D498" s="27"/>
      <c r="F498" s="27"/>
      <c r="K498" s="27"/>
    </row>
    <row r="499" spans="1:11">
      <c r="A499" s="27"/>
      <c r="B499" s="27"/>
      <c r="D499" s="27"/>
      <c r="F499" s="27"/>
      <c r="K499" s="27"/>
    </row>
    <row r="500" spans="1:11">
      <c r="A500" s="27"/>
      <c r="B500" s="27"/>
      <c r="D500" s="27"/>
      <c r="F500" s="27"/>
      <c r="K500" s="27"/>
    </row>
    <row r="501" spans="1:11">
      <c r="A501" s="27"/>
      <c r="B501" s="27"/>
      <c r="D501" s="27"/>
      <c r="F501" s="27"/>
      <c r="K501" s="27"/>
    </row>
    <row r="502" spans="1:11">
      <c r="A502" s="27"/>
      <c r="B502" s="27"/>
      <c r="D502" s="27"/>
      <c r="F502" s="27"/>
      <c r="K502" s="27"/>
    </row>
    <row r="503" spans="1:11">
      <c r="A503" s="27"/>
      <c r="B503" s="27"/>
      <c r="D503" s="27"/>
      <c r="F503" s="27"/>
      <c r="K503" s="27"/>
    </row>
    <row r="504" spans="1:11">
      <c r="A504" s="27"/>
      <c r="B504" s="27"/>
      <c r="D504" s="27"/>
      <c r="F504" s="27"/>
      <c r="K504" s="27"/>
    </row>
    <row r="505" spans="1:11">
      <c r="A505" s="27"/>
      <c r="B505" s="27"/>
      <c r="D505" s="27"/>
      <c r="F505" s="27"/>
      <c r="K505" s="27"/>
    </row>
    <row r="506" spans="1:11">
      <c r="A506" s="27"/>
      <c r="B506" s="27"/>
      <c r="D506" s="27"/>
      <c r="F506" s="27"/>
      <c r="K506" s="27"/>
    </row>
    <row r="507" spans="1:11">
      <c r="A507" s="27"/>
      <c r="B507" s="27"/>
      <c r="D507" s="27"/>
      <c r="F507" s="27"/>
      <c r="K507" s="27"/>
    </row>
    <row r="508" spans="1:11">
      <c r="A508" s="27"/>
      <c r="B508" s="27"/>
      <c r="D508" s="27"/>
      <c r="F508" s="27"/>
      <c r="K508" s="27"/>
    </row>
    <row r="509" spans="1:11">
      <c r="A509" s="27"/>
      <c r="B509" s="27"/>
      <c r="D509" s="27"/>
      <c r="F509" s="27"/>
      <c r="K509" s="27"/>
    </row>
    <row r="510" spans="1:11">
      <c r="A510" s="27"/>
      <c r="B510" s="27"/>
      <c r="D510" s="27"/>
      <c r="F510" s="27"/>
      <c r="K510" s="27"/>
    </row>
    <row r="511" spans="1:11">
      <c r="A511" s="27"/>
      <c r="B511" s="27"/>
      <c r="D511" s="27"/>
      <c r="F511" s="27"/>
      <c r="K511" s="27"/>
    </row>
    <row r="512" spans="1:11">
      <c r="A512" s="27"/>
      <c r="B512" s="27"/>
      <c r="D512" s="27"/>
      <c r="F512" s="27"/>
      <c r="K512" s="27"/>
    </row>
    <row r="513" spans="1:11">
      <c r="A513" s="27"/>
      <c r="B513" s="27"/>
      <c r="D513" s="27"/>
      <c r="F513" s="27"/>
      <c r="K513" s="27"/>
    </row>
    <row r="514" spans="1:11">
      <c r="A514" s="27"/>
      <c r="B514" s="27"/>
      <c r="D514" s="27"/>
      <c r="F514" s="27"/>
      <c r="K514" s="27"/>
    </row>
    <row r="515" spans="1:11">
      <c r="A515" s="27"/>
      <c r="B515" s="27"/>
      <c r="D515" s="27"/>
      <c r="F515" s="27"/>
      <c r="K515" s="27"/>
    </row>
    <row r="516" spans="1:11">
      <c r="A516" s="27"/>
      <c r="B516" s="27"/>
      <c r="D516" s="27"/>
      <c r="F516" s="27"/>
      <c r="K516" s="27"/>
    </row>
    <row r="517" spans="1:11">
      <c r="A517" s="27"/>
      <c r="B517" s="27"/>
      <c r="D517" s="27"/>
      <c r="F517" s="27"/>
      <c r="K517" s="27"/>
    </row>
    <row r="518" spans="1:11">
      <c r="A518" s="27"/>
      <c r="B518" s="27"/>
      <c r="D518" s="27"/>
      <c r="F518" s="27"/>
      <c r="K518" s="27"/>
    </row>
    <row r="519" spans="1:11">
      <c r="A519" s="27"/>
      <c r="B519" s="27"/>
      <c r="D519" s="27"/>
      <c r="F519" s="27"/>
      <c r="K519" s="27"/>
    </row>
    <row r="520" spans="1:11">
      <c r="A520" s="27"/>
      <c r="B520" s="27"/>
      <c r="D520" s="27"/>
      <c r="F520" s="27"/>
      <c r="K520" s="27"/>
    </row>
    <row r="521" spans="1:11">
      <c r="A521" s="27"/>
      <c r="B521" s="27"/>
      <c r="D521" s="27"/>
      <c r="F521" s="27"/>
      <c r="K521" s="27"/>
    </row>
    <row r="522" spans="1:11">
      <c r="A522" s="27"/>
      <c r="B522" s="27"/>
      <c r="D522" s="27"/>
      <c r="F522" s="27"/>
      <c r="K522" s="27"/>
    </row>
    <row r="523" spans="1:11">
      <c r="A523" s="27"/>
      <c r="B523" s="27"/>
      <c r="D523" s="27"/>
      <c r="F523" s="27"/>
      <c r="K523" s="27"/>
    </row>
    <row r="524" spans="1:11">
      <c r="A524" s="27"/>
      <c r="B524" s="27"/>
      <c r="D524" s="27"/>
      <c r="F524" s="27"/>
      <c r="K524" s="27"/>
    </row>
    <row r="525" spans="1:11">
      <c r="A525" s="27"/>
      <c r="B525" s="27"/>
      <c r="D525" s="27"/>
      <c r="F525" s="27"/>
      <c r="K525" s="27"/>
    </row>
    <row r="526" spans="1:11">
      <c r="A526" s="27"/>
      <c r="B526" s="27"/>
      <c r="D526" s="27"/>
      <c r="F526" s="27"/>
      <c r="K526" s="27"/>
    </row>
    <row r="527" spans="1:11">
      <c r="A527" s="27"/>
      <c r="B527" s="27"/>
      <c r="D527" s="27"/>
      <c r="F527" s="27"/>
      <c r="K527" s="27"/>
    </row>
    <row r="528" spans="1:11">
      <c r="A528" s="27"/>
      <c r="B528" s="27"/>
      <c r="D528" s="27"/>
      <c r="F528" s="27"/>
      <c r="K528" s="27"/>
    </row>
    <row r="529" spans="1:11">
      <c r="A529" s="27"/>
      <c r="B529" s="27"/>
      <c r="D529" s="27"/>
      <c r="F529" s="27"/>
      <c r="K529" s="27"/>
    </row>
    <row r="530" spans="1:11">
      <c r="A530" s="27"/>
      <c r="B530" s="27"/>
      <c r="D530" s="27"/>
      <c r="F530" s="27"/>
      <c r="K530" s="27"/>
    </row>
    <row r="531" spans="1:11">
      <c r="A531" s="27"/>
      <c r="B531" s="27"/>
      <c r="D531" s="27"/>
      <c r="F531" s="27"/>
      <c r="K531" s="27"/>
    </row>
    <row r="532" spans="1:11">
      <c r="A532" s="27"/>
      <c r="B532" s="27"/>
      <c r="D532" s="27"/>
      <c r="F532" s="27"/>
      <c r="K532" s="27"/>
    </row>
    <row r="533" spans="1:11">
      <c r="A533" s="27"/>
      <c r="B533" s="27"/>
      <c r="D533" s="27"/>
      <c r="F533" s="27"/>
      <c r="K533" s="27"/>
    </row>
    <row r="534" spans="1:11">
      <c r="A534" s="27"/>
      <c r="B534" s="27"/>
      <c r="D534" s="27"/>
      <c r="F534" s="27"/>
      <c r="K534" s="27"/>
    </row>
    <row r="535" spans="1:11">
      <c r="A535" s="27"/>
      <c r="B535" s="27"/>
      <c r="D535" s="27"/>
      <c r="F535" s="27"/>
      <c r="K535" s="27"/>
    </row>
    <row r="536" spans="1:11">
      <c r="A536" s="27"/>
      <c r="B536" s="27"/>
      <c r="D536" s="27"/>
      <c r="F536" s="27"/>
      <c r="K536" s="27"/>
    </row>
    <row r="537" spans="1:11">
      <c r="A537" s="27"/>
      <c r="B537" s="27"/>
      <c r="D537" s="27"/>
      <c r="F537" s="27"/>
      <c r="K537" s="27"/>
    </row>
    <row r="538" spans="1:11">
      <c r="A538" s="27"/>
      <c r="B538" s="27"/>
      <c r="D538" s="27"/>
      <c r="F538" s="27"/>
      <c r="K538" s="27"/>
    </row>
    <row r="539" spans="1:11">
      <c r="A539" s="27"/>
      <c r="B539" s="27"/>
      <c r="D539" s="27"/>
      <c r="F539" s="27"/>
      <c r="K539" s="27"/>
    </row>
    <row r="540" spans="1:11">
      <c r="A540" s="27"/>
      <c r="B540" s="27"/>
      <c r="D540" s="27"/>
      <c r="F540" s="27"/>
      <c r="K540" s="27"/>
    </row>
    <row r="541" spans="1:11">
      <c r="A541" s="27"/>
      <c r="B541" s="27"/>
      <c r="D541" s="27"/>
      <c r="F541" s="27"/>
      <c r="K541" s="27"/>
    </row>
    <row r="542" spans="1:11">
      <c r="A542" s="27"/>
      <c r="B542" s="27"/>
      <c r="D542" s="27"/>
      <c r="F542" s="27"/>
      <c r="K542" s="27"/>
    </row>
    <row r="543" spans="1:11">
      <c r="A543" s="27"/>
      <c r="B543" s="27"/>
      <c r="D543" s="27"/>
      <c r="F543" s="27"/>
      <c r="K543" s="27"/>
    </row>
    <row r="544" spans="1:11">
      <c r="A544" s="27"/>
      <c r="B544" s="27"/>
      <c r="D544" s="27"/>
      <c r="F544" s="27"/>
      <c r="K544" s="27"/>
    </row>
    <row r="545" spans="1:11">
      <c r="A545" s="27"/>
      <c r="B545" s="27"/>
      <c r="D545" s="27"/>
      <c r="F545" s="27"/>
      <c r="K545" s="27"/>
    </row>
    <row r="546" spans="1:11">
      <c r="A546" s="27"/>
      <c r="B546" s="27"/>
      <c r="D546" s="27"/>
      <c r="F546" s="27"/>
      <c r="K546" s="27"/>
    </row>
    <row r="547" spans="1:11">
      <c r="A547" s="27"/>
      <c r="B547" s="27"/>
      <c r="D547" s="27"/>
      <c r="F547" s="27"/>
      <c r="K547" s="27"/>
    </row>
    <row r="548" spans="1:11">
      <c r="A548" s="27"/>
      <c r="B548" s="27"/>
      <c r="D548" s="27"/>
      <c r="F548" s="27"/>
      <c r="K548" s="27"/>
    </row>
    <row r="549" spans="1:11">
      <c r="A549" s="27"/>
      <c r="B549" s="27"/>
      <c r="D549" s="27"/>
      <c r="F549" s="27"/>
      <c r="K549" s="27"/>
    </row>
    <row r="550" spans="1:11">
      <c r="A550" s="27"/>
      <c r="B550" s="27"/>
      <c r="D550" s="27"/>
      <c r="F550" s="27"/>
      <c r="K550" s="27"/>
    </row>
    <row r="551" spans="1:11">
      <c r="A551" s="27"/>
      <c r="B551" s="27"/>
      <c r="D551" s="27"/>
      <c r="F551" s="27"/>
      <c r="K551" s="27"/>
    </row>
    <row r="552" spans="1:11">
      <c r="A552" s="27"/>
      <c r="B552" s="27"/>
      <c r="D552" s="27"/>
      <c r="F552" s="27"/>
      <c r="K552" s="27"/>
    </row>
    <row r="553" spans="1:11">
      <c r="A553" s="27"/>
      <c r="B553" s="27"/>
      <c r="D553" s="27"/>
      <c r="F553" s="27"/>
      <c r="K553" s="27"/>
    </row>
    <row r="554" spans="1:11">
      <c r="A554" s="27"/>
      <c r="B554" s="27"/>
      <c r="D554" s="27"/>
      <c r="F554" s="27"/>
      <c r="K554" s="27"/>
    </row>
    <row r="555" spans="1:11">
      <c r="A555" s="27"/>
      <c r="B555" s="27"/>
      <c r="D555" s="27"/>
      <c r="F555" s="27"/>
      <c r="K555" s="27"/>
    </row>
    <row r="556" spans="1:11">
      <c r="A556" s="27"/>
      <c r="B556" s="27"/>
      <c r="D556" s="27"/>
      <c r="F556" s="27"/>
      <c r="K556" s="27"/>
    </row>
    <row r="557" spans="1:11">
      <c r="A557" s="27"/>
      <c r="B557" s="27"/>
      <c r="D557" s="27"/>
      <c r="F557" s="27"/>
      <c r="K557" s="27"/>
    </row>
    <row r="558" spans="1:11">
      <c r="A558" s="27"/>
      <c r="B558" s="27"/>
      <c r="D558" s="27"/>
      <c r="F558" s="27"/>
      <c r="K558" s="27"/>
    </row>
    <row r="559" spans="1:11">
      <c r="A559" s="27"/>
      <c r="B559" s="27"/>
      <c r="D559" s="27"/>
      <c r="F559" s="27"/>
      <c r="K559" s="27"/>
    </row>
    <row r="560" spans="1:11">
      <c r="A560" s="27"/>
      <c r="B560" s="27"/>
      <c r="D560" s="27"/>
      <c r="F560" s="27"/>
      <c r="K560" s="27"/>
    </row>
    <row r="561" spans="1:11">
      <c r="A561" s="27"/>
      <c r="B561" s="27"/>
      <c r="D561" s="27"/>
      <c r="F561" s="27"/>
      <c r="K561" s="27"/>
    </row>
    <row r="562" spans="1:11">
      <c r="A562" s="27"/>
      <c r="B562" s="27"/>
      <c r="D562" s="27"/>
      <c r="F562" s="27"/>
      <c r="K562" s="27"/>
    </row>
    <row r="563" spans="1:11">
      <c r="A563" s="27"/>
      <c r="B563" s="27"/>
      <c r="D563" s="27"/>
      <c r="F563" s="27"/>
      <c r="K563" s="27"/>
    </row>
    <row r="564" spans="1:11">
      <c r="A564" s="27"/>
      <c r="B564" s="27"/>
      <c r="D564" s="27"/>
      <c r="F564" s="27"/>
      <c r="K564" s="27"/>
    </row>
    <row r="565" spans="1:11">
      <c r="A565" s="27"/>
      <c r="B565" s="27"/>
      <c r="D565" s="27"/>
      <c r="F565" s="27"/>
      <c r="K565" s="27"/>
    </row>
    <row r="566" spans="1:11">
      <c r="A566" s="27"/>
      <c r="B566" s="27"/>
      <c r="D566" s="27"/>
      <c r="F566" s="27"/>
      <c r="K566" s="27"/>
    </row>
    <row r="567" spans="1:11">
      <c r="A567" s="27"/>
      <c r="B567" s="27"/>
      <c r="D567" s="27"/>
      <c r="F567" s="27"/>
      <c r="K567" s="27"/>
    </row>
    <row r="568" spans="1:11">
      <c r="A568" s="27"/>
      <c r="B568" s="27"/>
      <c r="D568" s="27"/>
      <c r="F568" s="27"/>
      <c r="K568" s="27"/>
    </row>
    <row r="569" spans="1:11">
      <c r="A569" s="27"/>
      <c r="B569" s="27"/>
      <c r="D569" s="27"/>
      <c r="F569" s="27"/>
      <c r="K569" s="27"/>
    </row>
    <row r="570" spans="1:11">
      <c r="A570" s="27"/>
      <c r="B570" s="27"/>
      <c r="D570" s="27"/>
      <c r="F570" s="27"/>
      <c r="K570" s="27"/>
    </row>
    <row r="571" spans="1:11">
      <c r="A571" s="27"/>
      <c r="B571" s="27"/>
      <c r="D571" s="27"/>
      <c r="F571" s="27"/>
      <c r="K571" s="27"/>
    </row>
    <row r="572" spans="1:11">
      <c r="A572" s="27"/>
      <c r="B572" s="27"/>
      <c r="D572" s="27"/>
      <c r="F572" s="27"/>
      <c r="K572" s="27"/>
    </row>
    <row r="573" spans="1:11">
      <c r="A573" s="27"/>
      <c r="B573" s="27"/>
      <c r="D573" s="27"/>
      <c r="F573" s="27"/>
      <c r="K573" s="27"/>
    </row>
    <row r="574" spans="1:11">
      <c r="A574" s="27"/>
      <c r="B574" s="27"/>
      <c r="D574" s="27"/>
      <c r="F574" s="27"/>
      <c r="K574" s="27"/>
    </row>
    <row r="575" spans="1:11">
      <c r="A575" s="27"/>
      <c r="B575" s="27"/>
      <c r="D575" s="27"/>
      <c r="F575" s="27"/>
      <c r="K575" s="27"/>
    </row>
    <row r="576" spans="1:11">
      <c r="A576" s="27"/>
      <c r="B576" s="27"/>
      <c r="D576" s="27"/>
      <c r="F576" s="27"/>
      <c r="K576" s="27"/>
    </row>
    <row r="577" spans="1:11">
      <c r="A577" s="27"/>
      <c r="B577" s="27"/>
      <c r="D577" s="27"/>
      <c r="F577" s="27"/>
      <c r="K577" s="27"/>
    </row>
    <row r="578" spans="1:11">
      <c r="A578" s="27"/>
      <c r="B578" s="27"/>
      <c r="D578" s="27"/>
      <c r="F578" s="27"/>
      <c r="K578" s="27"/>
    </row>
    <row r="579" spans="1:11">
      <c r="A579" s="27"/>
      <c r="B579" s="27"/>
      <c r="D579" s="27"/>
      <c r="F579" s="27"/>
      <c r="K579" s="27"/>
    </row>
    <row r="580" spans="1:11">
      <c r="A580" s="27"/>
      <c r="B580" s="27"/>
      <c r="D580" s="27"/>
      <c r="F580" s="27"/>
      <c r="K580" s="27"/>
    </row>
    <row r="581" spans="1:11">
      <c r="A581" s="27"/>
      <c r="B581" s="27"/>
      <c r="D581" s="27"/>
      <c r="F581" s="27"/>
      <c r="K581" s="27"/>
    </row>
    <row r="582" spans="1:11">
      <c r="A582" s="27"/>
      <c r="B582" s="27"/>
      <c r="D582" s="27"/>
      <c r="F582" s="27"/>
      <c r="K582" s="27"/>
    </row>
    <row r="583" spans="1:11">
      <c r="A583" s="27"/>
      <c r="B583" s="27"/>
      <c r="D583" s="27"/>
      <c r="F583" s="27"/>
      <c r="K583" s="27"/>
    </row>
    <row r="584" spans="1:11">
      <c r="A584" s="27"/>
      <c r="B584" s="27"/>
      <c r="D584" s="27"/>
      <c r="F584" s="27"/>
      <c r="K584" s="27"/>
    </row>
    <row r="585" spans="1:11">
      <c r="A585" s="27"/>
      <c r="B585" s="27"/>
      <c r="D585" s="27"/>
      <c r="F585" s="27"/>
      <c r="K585" s="27"/>
    </row>
    <row r="586" spans="1:11">
      <c r="A586" s="27"/>
      <c r="B586" s="27"/>
      <c r="D586" s="27"/>
      <c r="F586" s="27"/>
      <c r="K586" s="27"/>
    </row>
    <row r="587" spans="1:11">
      <c r="A587" s="27"/>
      <c r="B587" s="27"/>
      <c r="D587" s="27"/>
      <c r="F587" s="27"/>
      <c r="K587" s="27"/>
    </row>
    <row r="588" spans="1:11">
      <c r="A588" s="27"/>
      <c r="B588" s="27"/>
      <c r="D588" s="27"/>
      <c r="F588" s="27"/>
      <c r="K588" s="27"/>
    </row>
    <row r="589" spans="1:11">
      <c r="A589" s="27"/>
      <c r="B589" s="27"/>
      <c r="D589" s="27"/>
      <c r="F589" s="27"/>
      <c r="K589" s="27"/>
    </row>
    <row r="590" spans="1:11">
      <c r="A590" s="27"/>
      <c r="B590" s="27"/>
      <c r="D590" s="27"/>
      <c r="F590" s="27"/>
      <c r="K590" s="27"/>
    </row>
    <row r="591" spans="1:11">
      <c r="A591" s="27"/>
      <c r="B591" s="27"/>
      <c r="D591" s="27"/>
      <c r="F591" s="27"/>
      <c r="K591" s="27"/>
    </row>
    <row r="592" spans="1:11">
      <c r="A592" s="27"/>
      <c r="B592" s="27"/>
      <c r="D592" s="27"/>
      <c r="F592" s="27"/>
      <c r="K592" s="27"/>
    </row>
    <row r="593" spans="1:11">
      <c r="A593" s="27"/>
      <c r="B593" s="27"/>
      <c r="D593" s="27"/>
      <c r="F593" s="27"/>
      <c r="K593" s="27"/>
    </row>
    <row r="594" spans="1:11">
      <c r="A594" s="27"/>
      <c r="B594" s="27"/>
      <c r="D594" s="27"/>
      <c r="F594" s="27"/>
      <c r="K594" s="27"/>
    </row>
    <row r="595" spans="1:11">
      <c r="A595" s="27"/>
      <c r="B595" s="27"/>
      <c r="D595" s="27"/>
      <c r="F595" s="27"/>
      <c r="K595" s="27"/>
    </row>
    <row r="596" spans="1:11">
      <c r="A596" s="27"/>
      <c r="B596" s="27"/>
      <c r="D596" s="27"/>
      <c r="F596" s="27"/>
      <c r="K596" s="27"/>
    </row>
    <row r="597" spans="1:11">
      <c r="A597" s="27"/>
      <c r="B597" s="27"/>
      <c r="D597" s="27"/>
      <c r="F597" s="27"/>
      <c r="K597" s="27"/>
    </row>
    <row r="598" spans="1:11">
      <c r="A598" s="27"/>
      <c r="B598" s="27"/>
      <c r="D598" s="27"/>
      <c r="F598" s="27"/>
      <c r="K598" s="27"/>
    </row>
    <row r="599" spans="1:11">
      <c r="A599" s="27"/>
      <c r="B599" s="27"/>
      <c r="D599" s="27"/>
      <c r="F599" s="27"/>
      <c r="K599" s="27"/>
    </row>
    <row r="600" spans="1:11">
      <c r="A600" s="27"/>
      <c r="B600" s="27"/>
      <c r="D600" s="27"/>
      <c r="F600" s="27"/>
      <c r="K600" s="27"/>
    </row>
    <row r="601" spans="1:11">
      <c r="A601" s="27"/>
      <c r="B601" s="27"/>
      <c r="D601" s="27"/>
      <c r="F601" s="27"/>
      <c r="K601" s="27"/>
    </row>
    <row r="602" spans="1:11">
      <c r="A602" s="27"/>
      <c r="B602" s="27"/>
      <c r="D602" s="27"/>
      <c r="F602" s="27"/>
      <c r="K602" s="27"/>
    </row>
    <row r="603" spans="1:11">
      <c r="A603" s="27"/>
      <c r="B603" s="27"/>
      <c r="D603" s="27"/>
      <c r="F603" s="27"/>
      <c r="K603" s="27"/>
    </row>
    <row r="604" spans="1:11">
      <c r="A604" s="27"/>
      <c r="B604" s="27"/>
      <c r="D604" s="27"/>
      <c r="F604" s="27"/>
      <c r="K604" s="27"/>
    </row>
    <row r="605" spans="1:11">
      <c r="A605" s="27"/>
      <c r="B605" s="27"/>
      <c r="D605" s="27"/>
      <c r="F605" s="27"/>
      <c r="K605" s="27"/>
    </row>
    <row r="606" spans="1:11">
      <c r="A606" s="27"/>
      <c r="B606" s="27"/>
      <c r="D606" s="27"/>
      <c r="F606" s="27"/>
      <c r="K606" s="27"/>
    </row>
    <row r="607" spans="1:11">
      <c r="A607" s="27"/>
      <c r="B607" s="27"/>
      <c r="D607" s="27"/>
      <c r="F607" s="27"/>
      <c r="K607" s="27"/>
    </row>
    <row r="608" spans="1:11">
      <c r="A608" s="27"/>
      <c r="B608" s="27"/>
      <c r="D608" s="27"/>
      <c r="F608" s="27"/>
      <c r="K608" s="27"/>
    </row>
    <row r="609" spans="1:11">
      <c r="A609" s="27"/>
      <c r="B609" s="27"/>
      <c r="D609" s="27"/>
      <c r="F609" s="27"/>
      <c r="K609" s="27"/>
    </row>
    <row r="610" spans="1:11">
      <c r="A610" s="27"/>
      <c r="B610" s="27"/>
      <c r="D610" s="27"/>
      <c r="F610" s="27"/>
      <c r="K610" s="27"/>
    </row>
    <row r="611" spans="1:11">
      <c r="A611" s="27"/>
      <c r="B611" s="27"/>
      <c r="D611" s="27"/>
      <c r="F611" s="27"/>
      <c r="K611" s="27"/>
    </row>
    <row r="612" spans="1:11">
      <c r="A612" s="27"/>
      <c r="B612" s="27"/>
      <c r="D612" s="27"/>
      <c r="F612" s="27"/>
      <c r="K612" s="27"/>
    </row>
    <row r="613" spans="1:11">
      <c r="A613" s="27"/>
      <c r="B613" s="27"/>
      <c r="D613" s="27"/>
      <c r="F613" s="27"/>
      <c r="K613" s="27"/>
    </row>
    <row r="614" spans="1:11">
      <c r="A614" s="27"/>
      <c r="B614" s="27"/>
      <c r="D614" s="27"/>
      <c r="F614" s="27"/>
      <c r="K614" s="27"/>
    </row>
    <row r="615" spans="1:11">
      <c r="A615" s="27"/>
      <c r="B615" s="27"/>
      <c r="D615" s="27"/>
      <c r="F615" s="27"/>
      <c r="K615" s="27"/>
    </row>
    <row r="616" spans="1:11">
      <c r="A616" s="27"/>
      <c r="B616" s="27"/>
      <c r="D616" s="27"/>
      <c r="F616" s="27"/>
      <c r="K616" s="27"/>
    </row>
    <row r="617" spans="1:11">
      <c r="A617" s="27"/>
      <c r="B617" s="27"/>
      <c r="D617" s="27"/>
      <c r="F617" s="27"/>
      <c r="K617" s="27"/>
    </row>
    <row r="618" spans="1:11">
      <c r="A618" s="27"/>
      <c r="B618" s="27"/>
      <c r="D618" s="27"/>
      <c r="F618" s="27"/>
      <c r="K618" s="27"/>
    </row>
    <row r="619" spans="1:11">
      <c r="A619" s="27"/>
      <c r="B619" s="27"/>
      <c r="D619" s="27"/>
      <c r="F619" s="27"/>
      <c r="K619" s="27"/>
    </row>
    <row r="620" spans="1:11">
      <c r="A620" s="27"/>
      <c r="B620" s="27"/>
      <c r="D620" s="27"/>
      <c r="F620" s="27"/>
      <c r="K620" s="27"/>
    </row>
    <row r="621" spans="1:11">
      <c r="A621" s="27"/>
      <c r="B621" s="27"/>
      <c r="D621" s="27"/>
      <c r="F621" s="27"/>
      <c r="K621" s="27"/>
    </row>
    <row r="622" spans="1:11">
      <c r="A622" s="27"/>
      <c r="B622" s="27"/>
      <c r="D622" s="27"/>
      <c r="F622" s="27"/>
      <c r="K622" s="27"/>
    </row>
    <row r="623" spans="1:11">
      <c r="A623" s="27"/>
      <c r="B623" s="27"/>
      <c r="D623" s="27"/>
      <c r="F623" s="27"/>
      <c r="K623" s="27"/>
    </row>
    <row r="624" spans="1:11">
      <c r="A624" s="27"/>
      <c r="B624" s="27"/>
      <c r="D624" s="27"/>
      <c r="F624" s="27"/>
      <c r="K624" s="27"/>
    </row>
    <row r="625" spans="1:11">
      <c r="A625" s="27"/>
      <c r="B625" s="27"/>
      <c r="D625" s="27"/>
      <c r="F625" s="27"/>
      <c r="K625" s="27"/>
    </row>
    <row r="626" spans="1:11">
      <c r="A626" s="27"/>
      <c r="B626" s="27"/>
      <c r="D626" s="27"/>
      <c r="F626" s="27"/>
      <c r="K626" s="27"/>
    </row>
    <row r="627" spans="1:11">
      <c r="A627" s="27"/>
      <c r="B627" s="27"/>
      <c r="D627" s="27"/>
      <c r="F627" s="27"/>
      <c r="K627" s="27"/>
    </row>
    <row r="628" spans="1:11">
      <c r="A628" s="27"/>
      <c r="B628" s="27"/>
      <c r="D628" s="27"/>
      <c r="F628" s="27"/>
      <c r="K628" s="27"/>
    </row>
    <row r="629" spans="1:11">
      <c r="A629" s="27"/>
      <c r="B629" s="27"/>
      <c r="D629" s="27"/>
      <c r="F629" s="27"/>
      <c r="K629" s="27"/>
    </row>
    <row r="630" spans="1:11">
      <c r="A630" s="27"/>
      <c r="B630" s="27"/>
      <c r="D630" s="27"/>
      <c r="F630" s="27"/>
      <c r="K630" s="27"/>
    </row>
    <row r="631" spans="1:11">
      <c r="A631" s="27"/>
      <c r="B631" s="27"/>
      <c r="D631" s="27"/>
      <c r="F631" s="27"/>
      <c r="K631" s="27"/>
    </row>
    <row r="632" spans="1:11">
      <c r="A632" s="27"/>
      <c r="B632" s="27"/>
      <c r="D632" s="27"/>
      <c r="F632" s="27"/>
      <c r="K632" s="27"/>
    </row>
    <row r="633" spans="1:11">
      <c r="A633" s="27"/>
      <c r="B633" s="27"/>
      <c r="D633" s="27"/>
      <c r="F633" s="27"/>
      <c r="K633" s="27"/>
    </row>
    <row r="634" spans="1:11">
      <c r="A634" s="27"/>
      <c r="B634" s="27"/>
      <c r="D634" s="27"/>
      <c r="F634" s="27"/>
      <c r="K634" s="27"/>
    </row>
    <row r="635" spans="1:11">
      <c r="A635" s="27"/>
      <c r="B635" s="27"/>
      <c r="D635" s="27"/>
      <c r="F635" s="27"/>
      <c r="K635" s="27"/>
    </row>
    <row r="636" spans="1:11">
      <c r="A636" s="27"/>
      <c r="B636" s="27"/>
      <c r="D636" s="27"/>
      <c r="F636" s="27"/>
      <c r="K636" s="27"/>
    </row>
    <row r="637" spans="1:11">
      <c r="A637" s="27"/>
      <c r="B637" s="27"/>
      <c r="D637" s="27"/>
      <c r="F637" s="27"/>
      <c r="K637" s="27"/>
    </row>
    <row r="638" spans="1:11">
      <c r="A638" s="27"/>
      <c r="B638" s="27"/>
      <c r="D638" s="27"/>
      <c r="F638" s="27"/>
      <c r="K638" s="27"/>
    </row>
    <row r="639" spans="1:11">
      <c r="A639" s="27"/>
      <c r="B639" s="27"/>
      <c r="D639" s="27"/>
      <c r="F639" s="27"/>
      <c r="K639" s="27"/>
    </row>
    <row r="640" spans="1:11">
      <c r="A640" s="27"/>
      <c r="B640" s="27"/>
      <c r="D640" s="27"/>
      <c r="F640" s="27"/>
      <c r="K640" s="27"/>
    </row>
    <row r="641" spans="1:11">
      <c r="A641" s="27"/>
      <c r="B641" s="27"/>
      <c r="D641" s="27"/>
      <c r="F641" s="27"/>
      <c r="K641" s="27"/>
    </row>
    <row r="642" spans="1:11">
      <c r="A642" s="27"/>
      <c r="B642" s="27"/>
      <c r="D642" s="27"/>
      <c r="F642" s="27"/>
      <c r="K642" s="27"/>
    </row>
    <row r="643" spans="1:11">
      <c r="A643" s="27"/>
      <c r="B643" s="27"/>
      <c r="D643" s="27"/>
      <c r="F643" s="27"/>
      <c r="K643" s="27"/>
    </row>
    <row r="644" spans="1:11">
      <c r="A644" s="27"/>
      <c r="B644" s="27"/>
      <c r="D644" s="27"/>
      <c r="F644" s="27"/>
      <c r="K644" s="27"/>
    </row>
    <row r="645" spans="1:11">
      <c r="A645" s="27"/>
      <c r="B645" s="27"/>
      <c r="D645" s="27"/>
      <c r="F645" s="27"/>
      <c r="K645" s="27"/>
    </row>
    <row r="646" spans="1:11">
      <c r="A646" s="27"/>
      <c r="B646" s="27"/>
      <c r="D646" s="27"/>
      <c r="F646" s="27"/>
      <c r="K646" s="27"/>
    </row>
    <row r="647" spans="1:11">
      <c r="A647" s="27"/>
      <c r="B647" s="27"/>
      <c r="D647" s="27"/>
      <c r="F647" s="27"/>
      <c r="K647" s="27"/>
    </row>
    <row r="648" spans="1:11">
      <c r="A648" s="27"/>
      <c r="B648" s="27"/>
      <c r="D648" s="27"/>
      <c r="F648" s="27"/>
      <c r="K648" s="27"/>
    </row>
    <row r="649" spans="1:11">
      <c r="A649" s="27"/>
      <c r="B649" s="27"/>
      <c r="D649" s="27"/>
      <c r="F649" s="27"/>
      <c r="K649" s="27"/>
    </row>
    <row r="650" spans="1:11">
      <c r="A650" s="27"/>
      <c r="B650" s="27"/>
      <c r="D650" s="27"/>
      <c r="F650" s="27"/>
      <c r="K650" s="27"/>
    </row>
    <row r="651" spans="1:11">
      <c r="A651" s="27"/>
      <c r="B651" s="27"/>
      <c r="D651" s="27"/>
      <c r="F651" s="27"/>
      <c r="K651" s="27"/>
    </row>
    <row r="652" spans="1:11">
      <c r="A652" s="27"/>
      <c r="B652" s="27"/>
      <c r="D652" s="27"/>
      <c r="F652" s="27"/>
      <c r="K652" s="27"/>
    </row>
    <row r="653" spans="1:11">
      <c r="A653" s="27"/>
      <c r="B653" s="27"/>
      <c r="D653" s="27"/>
      <c r="F653" s="27"/>
      <c r="K653" s="27"/>
    </row>
    <row r="654" spans="1:11">
      <c r="A654" s="27"/>
      <c r="B654" s="27"/>
      <c r="D654" s="27"/>
      <c r="F654" s="27"/>
      <c r="K654" s="27"/>
    </row>
    <row r="655" spans="1:11">
      <c r="A655" s="27"/>
      <c r="B655" s="27"/>
      <c r="D655" s="27"/>
      <c r="F655" s="27"/>
      <c r="K655" s="27"/>
    </row>
    <row r="656" spans="1:11">
      <c r="A656" s="27"/>
      <c r="B656" s="27"/>
      <c r="D656" s="27"/>
      <c r="F656" s="27"/>
      <c r="K656" s="27"/>
    </row>
    <row r="657" spans="1:11">
      <c r="A657" s="27"/>
      <c r="B657" s="27"/>
      <c r="D657" s="27"/>
      <c r="F657" s="27"/>
      <c r="K657" s="27"/>
    </row>
    <row r="658" spans="1:11">
      <c r="A658" s="27"/>
      <c r="B658" s="27"/>
      <c r="D658" s="27"/>
      <c r="F658" s="27"/>
      <c r="K658" s="27"/>
    </row>
    <row r="659" spans="1:11">
      <c r="A659" s="27"/>
      <c r="B659" s="27"/>
      <c r="D659" s="27"/>
      <c r="F659" s="27"/>
      <c r="K659" s="27"/>
    </row>
    <row r="660" spans="1:11">
      <c r="A660" s="27"/>
      <c r="B660" s="27"/>
      <c r="D660" s="27"/>
      <c r="F660" s="27"/>
      <c r="K660" s="27"/>
    </row>
    <row r="661" spans="1:11">
      <c r="A661" s="27"/>
      <c r="B661" s="27"/>
      <c r="D661" s="27"/>
      <c r="F661" s="27"/>
      <c r="K661" s="27"/>
    </row>
    <row r="662" spans="1:11">
      <c r="A662" s="27"/>
      <c r="B662" s="27"/>
      <c r="D662" s="27"/>
      <c r="F662" s="27"/>
      <c r="K662" s="27"/>
    </row>
    <row r="663" spans="1:11">
      <c r="A663" s="27"/>
      <c r="B663" s="27"/>
      <c r="D663" s="27"/>
      <c r="F663" s="27"/>
      <c r="K663" s="27"/>
    </row>
    <row r="664" spans="1:11">
      <c r="A664" s="27"/>
      <c r="B664" s="27"/>
      <c r="D664" s="27"/>
      <c r="F664" s="27"/>
      <c r="K664" s="27"/>
    </row>
    <row r="665" spans="1:11">
      <c r="A665" s="27"/>
      <c r="B665" s="27"/>
      <c r="D665" s="27"/>
      <c r="F665" s="27"/>
      <c r="K665" s="27"/>
    </row>
    <row r="666" spans="1:11">
      <c r="A666" s="27"/>
      <c r="B666" s="27"/>
      <c r="D666" s="27"/>
      <c r="F666" s="27"/>
      <c r="K666" s="27"/>
    </row>
    <row r="667" spans="1:11">
      <c r="A667" s="27"/>
      <c r="B667" s="27"/>
      <c r="D667" s="27"/>
      <c r="F667" s="27"/>
      <c r="K667" s="27"/>
    </row>
    <row r="668" spans="1:11">
      <c r="A668" s="27"/>
      <c r="B668" s="27"/>
      <c r="D668" s="27"/>
      <c r="F668" s="27"/>
      <c r="K668" s="27"/>
    </row>
    <row r="669" spans="1:11">
      <c r="A669" s="27"/>
      <c r="B669" s="27"/>
      <c r="D669" s="27"/>
      <c r="F669" s="27"/>
      <c r="K669" s="27"/>
    </row>
    <row r="670" spans="1:11">
      <c r="A670" s="27"/>
      <c r="B670" s="27"/>
      <c r="D670" s="27"/>
      <c r="F670" s="27"/>
      <c r="K670" s="27"/>
    </row>
    <row r="671" spans="1:11">
      <c r="A671" s="27"/>
      <c r="B671" s="27"/>
      <c r="D671" s="27"/>
      <c r="F671" s="27"/>
      <c r="K671" s="27"/>
    </row>
    <row r="672" spans="1:11">
      <c r="A672" s="27"/>
      <c r="B672" s="27"/>
      <c r="D672" s="27"/>
      <c r="F672" s="27"/>
      <c r="K672" s="27"/>
    </row>
    <row r="673" spans="1:11">
      <c r="A673" s="27"/>
      <c r="B673" s="27"/>
      <c r="D673" s="27"/>
      <c r="F673" s="27"/>
      <c r="K673" s="27"/>
    </row>
    <row r="674" spans="1:11">
      <c r="A674" s="27"/>
      <c r="B674" s="27"/>
      <c r="D674" s="27"/>
      <c r="F674" s="27"/>
      <c r="K674" s="27"/>
    </row>
    <row r="675" spans="1:11">
      <c r="A675" s="27"/>
      <c r="B675" s="27"/>
      <c r="D675" s="27"/>
      <c r="F675" s="27"/>
      <c r="K675" s="27"/>
    </row>
    <row r="676" spans="1:11">
      <c r="A676" s="27"/>
      <c r="B676" s="27"/>
      <c r="D676" s="27"/>
      <c r="F676" s="27"/>
      <c r="K676" s="27"/>
    </row>
    <row r="677" spans="1:11">
      <c r="A677" s="27"/>
      <c r="B677" s="27"/>
      <c r="D677" s="27"/>
      <c r="F677" s="27"/>
      <c r="K677" s="27"/>
    </row>
    <row r="678" spans="1:11">
      <c r="A678" s="27"/>
      <c r="B678" s="27"/>
      <c r="D678" s="27"/>
      <c r="F678" s="27"/>
      <c r="K678" s="27"/>
    </row>
    <row r="679" spans="1:11">
      <c r="A679" s="27"/>
      <c r="B679" s="27"/>
      <c r="D679" s="27"/>
      <c r="F679" s="27"/>
      <c r="K679" s="27"/>
    </row>
    <row r="680" spans="1:11">
      <c r="A680" s="27"/>
      <c r="B680" s="27"/>
      <c r="D680" s="27"/>
      <c r="F680" s="27"/>
      <c r="K680" s="27"/>
    </row>
    <row r="681" spans="1:11">
      <c r="A681" s="27"/>
      <c r="B681" s="27"/>
      <c r="D681" s="27"/>
      <c r="F681" s="27"/>
      <c r="K681" s="27"/>
    </row>
    <row r="682" spans="1:11">
      <c r="A682" s="27"/>
      <c r="B682" s="27"/>
      <c r="D682" s="27"/>
      <c r="F682" s="27"/>
      <c r="K682" s="27"/>
    </row>
    <row r="683" spans="1:11">
      <c r="A683" s="27"/>
      <c r="B683" s="27"/>
      <c r="D683" s="27"/>
      <c r="F683" s="27"/>
      <c r="K683" s="27"/>
    </row>
    <row r="684" spans="1:11">
      <c r="A684" s="27"/>
      <c r="B684" s="27"/>
      <c r="D684" s="27"/>
      <c r="F684" s="27"/>
      <c r="K684" s="27"/>
    </row>
    <row r="685" spans="1:11">
      <c r="A685" s="27"/>
      <c r="B685" s="27"/>
      <c r="D685" s="27"/>
      <c r="F685" s="27"/>
      <c r="K685" s="27"/>
    </row>
    <row r="686" spans="1:11">
      <c r="A686" s="27"/>
      <c r="B686" s="27"/>
      <c r="D686" s="27"/>
      <c r="F686" s="27"/>
      <c r="K686" s="27"/>
    </row>
    <row r="687" spans="1:11">
      <c r="A687" s="27"/>
      <c r="B687" s="27"/>
      <c r="D687" s="27"/>
      <c r="F687" s="27"/>
      <c r="K687" s="27"/>
    </row>
    <row r="688" spans="1:11">
      <c r="A688" s="27"/>
      <c r="B688" s="27"/>
      <c r="D688" s="27"/>
      <c r="F688" s="27"/>
      <c r="K688" s="27"/>
    </row>
    <row r="689" spans="1:11">
      <c r="A689" s="27"/>
      <c r="B689" s="27"/>
      <c r="D689" s="27"/>
      <c r="F689" s="27"/>
      <c r="K689" s="27"/>
    </row>
    <row r="690" spans="1:11">
      <c r="A690" s="27"/>
      <c r="B690" s="27"/>
      <c r="D690" s="27"/>
      <c r="F690" s="27"/>
      <c r="K690" s="27"/>
    </row>
    <row r="691" spans="1:11">
      <c r="A691" s="27"/>
      <c r="B691" s="27"/>
      <c r="D691" s="27"/>
      <c r="F691" s="27"/>
      <c r="K691" s="27"/>
    </row>
    <row r="692" spans="1:11">
      <c r="A692" s="27"/>
      <c r="B692" s="27"/>
      <c r="D692" s="27"/>
      <c r="F692" s="27"/>
      <c r="K692" s="27"/>
    </row>
    <row r="693" spans="1:11">
      <c r="A693" s="27"/>
      <c r="B693" s="27"/>
      <c r="D693" s="27"/>
      <c r="F693" s="27"/>
      <c r="K693" s="27"/>
    </row>
    <row r="694" spans="1:11">
      <c r="A694" s="27"/>
      <c r="B694" s="27"/>
      <c r="D694" s="27"/>
      <c r="F694" s="27"/>
      <c r="K694" s="27"/>
    </row>
    <row r="695" spans="1:11">
      <c r="A695" s="27"/>
      <c r="B695" s="27"/>
      <c r="D695" s="27"/>
      <c r="F695" s="27"/>
      <c r="K695" s="27"/>
    </row>
    <row r="696" spans="1:11">
      <c r="A696" s="27"/>
      <c r="B696" s="27"/>
      <c r="D696" s="27"/>
      <c r="F696" s="27"/>
      <c r="K696" s="27"/>
    </row>
    <row r="697" spans="1:11">
      <c r="A697" s="27"/>
      <c r="B697" s="27"/>
      <c r="D697" s="27"/>
      <c r="F697" s="27"/>
      <c r="K697" s="27"/>
    </row>
    <row r="698" spans="1:11">
      <c r="A698" s="27"/>
      <c r="B698" s="27"/>
      <c r="D698" s="27"/>
      <c r="F698" s="27"/>
      <c r="K698" s="27"/>
    </row>
    <row r="699" spans="1:11">
      <c r="A699" s="27"/>
      <c r="B699" s="27"/>
      <c r="D699" s="27"/>
      <c r="F699" s="27"/>
      <c r="K699" s="27"/>
    </row>
    <row r="700" spans="1:11">
      <c r="A700" s="27"/>
      <c r="B700" s="27"/>
      <c r="D700" s="27"/>
      <c r="F700" s="27"/>
      <c r="K700" s="27"/>
    </row>
    <row r="701" spans="1:11">
      <c r="A701" s="27"/>
      <c r="B701" s="27"/>
      <c r="D701" s="27"/>
      <c r="F701" s="27"/>
      <c r="K701" s="27"/>
    </row>
    <row r="702" spans="1:11">
      <c r="A702" s="27"/>
      <c r="B702" s="27"/>
      <c r="D702" s="27"/>
      <c r="F702" s="27"/>
      <c r="K702" s="27"/>
    </row>
    <row r="703" spans="1:11">
      <c r="A703" s="27"/>
      <c r="B703" s="27"/>
      <c r="D703" s="27"/>
      <c r="F703" s="27"/>
      <c r="K703" s="27"/>
    </row>
    <row r="704" spans="1:11">
      <c r="A704" s="27"/>
      <c r="B704" s="27"/>
      <c r="D704" s="27"/>
      <c r="F704" s="27"/>
      <c r="K704" s="27"/>
    </row>
    <row r="705" spans="1:11">
      <c r="A705" s="27"/>
      <c r="B705" s="27"/>
      <c r="D705" s="27"/>
      <c r="F705" s="27"/>
      <c r="K705" s="27"/>
    </row>
    <row r="706" spans="1:11">
      <c r="A706" s="27"/>
      <c r="B706" s="27"/>
      <c r="D706" s="27"/>
      <c r="F706" s="27"/>
      <c r="K706" s="27"/>
    </row>
    <row r="707" spans="1:11">
      <c r="A707" s="27"/>
      <c r="B707" s="27"/>
      <c r="D707" s="27"/>
      <c r="F707" s="27"/>
      <c r="K707" s="27"/>
    </row>
    <row r="708" spans="1:11">
      <c r="A708" s="27"/>
      <c r="B708" s="27"/>
      <c r="D708" s="27"/>
      <c r="F708" s="27"/>
      <c r="K708" s="27"/>
    </row>
    <row r="709" spans="1:11">
      <c r="A709" s="27"/>
      <c r="B709" s="27"/>
      <c r="D709" s="27"/>
      <c r="F709" s="27"/>
      <c r="K709" s="27"/>
    </row>
    <row r="710" spans="1:11">
      <c r="A710" s="27"/>
      <c r="B710" s="27"/>
      <c r="D710" s="27"/>
      <c r="F710" s="27"/>
      <c r="K710" s="27"/>
    </row>
    <row r="711" spans="1:11">
      <c r="A711" s="27"/>
      <c r="B711" s="27"/>
      <c r="D711" s="27"/>
      <c r="F711" s="27"/>
      <c r="K711" s="27"/>
    </row>
    <row r="712" spans="1:11">
      <c r="A712" s="27"/>
      <c r="B712" s="27"/>
      <c r="D712" s="27"/>
      <c r="F712" s="27"/>
      <c r="K712" s="27"/>
    </row>
    <row r="713" spans="1:11">
      <c r="A713" s="27"/>
      <c r="B713" s="27"/>
      <c r="D713" s="27"/>
      <c r="F713" s="27"/>
      <c r="K713" s="27"/>
    </row>
    <row r="714" spans="1:11">
      <c r="A714" s="27"/>
      <c r="B714" s="27"/>
      <c r="D714" s="27"/>
      <c r="F714" s="27"/>
      <c r="K714" s="27"/>
    </row>
    <row r="715" spans="1:11">
      <c r="A715" s="27"/>
      <c r="B715" s="27"/>
      <c r="D715" s="27"/>
      <c r="F715" s="27"/>
      <c r="K715" s="27"/>
    </row>
    <row r="716" spans="1:11">
      <c r="A716" s="27"/>
      <c r="B716" s="27"/>
      <c r="D716" s="27"/>
      <c r="F716" s="27"/>
      <c r="K716" s="27"/>
    </row>
    <row r="717" spans="1:11">
      <c r="A717" s="27"/>
      <c r="B717" s="27"/>
      <c r="D717" s="27"/>
      <c r="F717" s="27"/>
      <c r="K717" s="27"/>
    </row>
    <row r="718" spans="1:11">
      <c r="A718" s="27"/>
      <c r="B718" s="27"/>
      <c r="D718" s="27"/>
      <c r="F718" s="27"/>
      <c r="K718" s="27"/>
    </row>
    <row r="719" spans="1:11">
      <c r="A719" s="27"/>
      <c r="B719" s="27"/>
      <c r="D719" s="27"/>
      <c r="F719" s="27"/>
      <c r="K719" s="27"/>
    </row>
    <row r="720" spans="1:11">
      <c r="A720" s="27"/>
      <c r="B720" s="27"/>
      <c r="D720" s="27"/>
      <c r="F720" s="27"/>
      <c r="K720" s="27"/>
    </row>
    <row r="721" spans="1:11">
      <c r="A721" s="27"/>
      <c r="B721" s="27"/>
      <c r="D721" s="27"/>
      <c r="F721" s="27"/>
      <c r="K721" s="27"/>
    </row>
    <row r="722" spans="1:11">
      <c r="A722" s="27"/>
      <c r="B722" s="27"/>
      <c r="D722" s="27"/>
      <c r="F722" s="27"/>
      <c r="K722" s="27"/>
    </row>
    <row r="723" spans="1:11">
      <c r="A723" s="27"/>
      <c r="B723" s="27"/>
      <c r="D723" s="27"/>
      <c r="F723" s="27"/>
      <c r="K723" s="27"/>
    </row>
    <row r="724" spans="1:11">
      <c r="A724" s="27"/>
      <c r="B724" s="27"/>
      <c r="D724" s="27"/>
      <c r="F724" s="27"/>
      <c r="K724" s="27"/>
    </row>
    <row r="725" spans="1:11">
      <c r="A725" s="27"/>
      <c r="B725" s="27"/>
      <c r="D725" s="27"/>
      <c r="F725" s="27"/>
      <c r="K725" s="27"/>
    </row>
    <row r="726" spans="1:11">
      <c r="A726" s="27"/>
      <c r="B726" s="27"/>
      <c r="D726" s="27"/>
      <c r="F726" s="27"/>
      <c r="K726" s="27"/>
    </row>
    <row r="727" spans="1:11">
      <c r="A727" s="27"/>
      <c r="B727" s="27"/>
      <c r="D727" s="27"/>
      <c r="F727" s="27"/>
      <c r="K727" s="27"/>
    </row>
    <row r="728" spans="1:11">
      <c r="A728" s="27"/>
      <c r="B728" s="27"/>
      <c r="D728" s="27"/>
      <c r="F728" s="27"/>
      <c r="K728" s="27"/>
    </row>
    <row r="729" spans="1:11">
      <c r="A729" s="27"/>
      <c r="B729" s="27"/>
      <c r="D729" s="27"/>
      <c r="F729" s="27"/>
      <c r="K729" s="27"/>
    </row>
    <row r="730" spans="1:11">
      <c r="A730" s="27"/>
      <c r="B730" s="27"/>
      <c r="D730" s="27"/>
      <c r="F730" s="27"/>
      <c r="K730" s="27"/>
    </row>
    <row r="731" spans="1:11">
      <c r="A731" s="27"/>
      <c r="B731" s="27"/>
      <c r="D731" s="27"/>
      <c r="F731" s="27"/>
      <c r="K731" s="27"/>
    </row>
    <row r="732" spans="1:11">
      <c r="A732" s="27"/>
      <c r="B732" s="27"/>
      <c r="D732" s="27"/>
      <c r="F732" s="27"/>
      <c r="K732" s="27"/>
    </row>
    <row r="733" spans="1:11">
      <c r="A733" s="27"/>
      <c r="B733" s="27"/>
      <c r="D733" s="27"/>
      <c r="F733" s="27"/>
      <c r="K733" s="27"/>
    </row>
    <row r="734" spans="1:11">
      <c r="A734" s="27"/>
      <c r="B734" s="27"/>
      <c r="D734" s="27"/>
      <c r="F734" s="27"/>
      <c r="K734" s="27"/>
    </row>
    <row r="735" spans="1:11">
      <c r="A735" s="27"/>
      <c r="B735" s="27"/>
      <c r="D735" s="27"/>
      <c r="F735" s="27"/>
      <c r="K735" s="27"/>
    </row>
    <row r="736" spans="1:11">
      <c r="A736" s="27"/>
      <c r="B736" s="27"/>
      <c r="D736" s="27"/>
      <c r="F736" s="27"/>
      <c r="K736" s="27"/>
    </row>
    <row r="737" spans="1:11">
      <c r="A737" s="27"/>
      <c r="B737" s="27"/>
      <c r="D737" s="27"/>
      <c r="F737" s="27"/>
      <c r="K737" s="27"/>
    </row>
    <row r="738" spans="1:11">
      <c r="A738" s="27"/>
      <c r="B738" s="27"/>
      <c r="D738" s="27"/>
      <c r="F738" s="27"/>
      <c r="K738" s="27"/>
    </row>
    <row r="739" spans="1:11">
      <c r="A739" s="27"/>
      <c r="B739" s="27"/>
      <c r="D739" s="27"/>
      <c r="F739" s="27"/>
      <c r="K739" s="27"/>
    </row>
    <row r="740" spans="1:11">
      <c r="A740" s="27"/>
      <c r="B740" s="27"/>
      <c r="D740" s="27"/>
      <c r="F740" s="27"/>
      <c r="K740" s="27"/>
    </row>
    <row r="741" spans="1:11">
      <c r="A741" s="27"/>
      <c r="B741" s="27"/>
      <c r="D741" s="27"/>
      <c r="F741" s="27"/>
      <c r="K741" s="27"/>
    </row>
    <row r="742" spans="1:11">
      <c r="A742" s="27"/>
      <c r="B742" s="27"/>
      <c r="D742" s="27"/>
      <c r="F742" s="27"/>
      <c r="K742" s="27"/>
    </row>
    <row r="743" spans="1:11">
      <c r="A743" s="27"/>
      <c r="B743" s="27"/>
      <c r="D743" s="27"/>
      <c r="F743" s="27"/>
      <c r="K743" s="27"/>
    </row>
    <row r="744" spans="1:11">
      <c r="A744" s="27"/>
      <c r="B744" s="27"/>
      <c r="D744" s="27"/>
      <c r="F744" s="27"/>
      <c r="K744" s="27"/>
    </row>
    <row r="745" spans="1:11">
      <c r="A745" s="27"/>
      <c r="B745" s="27"/>
      <c r="D745" s="27"/>
      <c r="F745" s="27"/>
      <c r="K745" s="27"/>
    </row>
    <row r="746" spans="1:11">
      <c r="A746" s="27"/>
      <c r="B746" s="27"/>
      <c r="D746" s="27"/>
      <c r="F746" s="27"/>
      <c r="K746" s="27"/>
    </row>
    <row r="747" spans="1:11">
      <c r="A747" s="27"/>
      <c r="B747" s="27"/>
      <c r="D747" s="27"/>
      <c r="F747" s="27"/>
      <c r="K747" s="27"/>
    </row>
    <row r="748" spans="1:11">
      <c r="A748" s="27"/>
      <c r="B748" s="27"/>
      <c r="D748" s="27"/>
      <c r="F748" s="27"/>
      <c r="K748" s="27"/>
    </row>
    <row r="749" spans="1:11">
      <c r="A749" s="27"/>
      <c r="B749" s="27"/>
      <c r="D749" s="27"/>
      <c r="F749" s="27"/>
      <c r="K749" s="27"/>
    </row>
    <row r="750" spans="1:11">
      <c r="A750" s="27"/>
      <c r="B750" s="27"/>
      <c r="D750" s="27"/>
      <c r="F750" s="27"/>
      <c r="K750" s="27"/>
    </row>
    <row r="751" spans="1:11">
      <c r="A751" s="27"/>
      <c r="B751" s="27"/>
      <c r="D751" s="27"/>
      <c r="F751" s="27"/>
      <c r="K751" s="27"/>
    </row>
    <row r="752" spans="1:11">
      <c r="A752" s="27"/>
      <c r="B752" s="27"/>
      <c r="D752" s="27"/>
      <c r="F752" s="27"/>
      <c r="K752" s="27"/>
    </row>
    <row r="753" spans="1:11">
      <c r="A753" s="27"/>
      <c r="B753" s="27"/>
      <c r="D753" s="27"/>
      <c r="F753" s="27"/>
      <c r="K753" s="27"/>
    </row>
    <row r="754" spans="1:11">
      <c r="A754" s="27"/>
      <c r="B754" s="27"/>
      <c r="D754" s="27"/>
      <c r="F754" s="27"/>
      <c r="K754" s="27"/>
    </row>
    <row r="755" spans="1:11">
      <c r="A755" s="27"/>
      <c r="B755" s="27"/>
      <c r="D755" s="27"/>
      <c r="F755" s="27"/>
      <c r="K755" s="27"/>
    </row>
    <row r="756" spans="1:11">
      <c r="A756" s="27"/>
      <c r="B756" s="27"/>
      <c r="D756" s="27"/>
      <c r="F756" s="27"/>
      <c r="K756" s="27"/>
    </row>
    <row r="757" spans="1:11">
      <c r="A757" s="27"/>
      <c r="B757" s="27"/>
      <c r="D757" s="27"/>
      <c r="F757" s="27"/>
      <c r="K757" s="27"/>
    </row>
    <row r="758" spans="1:11">
      <c r="A758" s="27"/>
      <c r="B758" s="27"/>
      <c r="D758" s="27"/>
      <c r="F758" s="27"/>
      <c r="K758" s="27"/>
    </row>
    <row r="759" spans="1:11">
      <c r="A759" s="27"/>
      <c r="B759" s="27"/>
      <c r="D759" s="27"/>
      <c r="F759" s="27"/>
      <c r="K759" s="27"/>
    </row>
    <row r="760" spans="1:11">
      <c r="A760" s="27"/>
      <c r="B760" s="27"/>
      <c r="D760" s="27"/>
      <c r="F760" s="27"/>
      <c r="K760" s="27"/>
    </row>
    <row r="761" spans="1:11">
      <c r="A761" s="27"/>
      <c r="B761" s="27"/>
      <c r="D761" s="27"/>
      <c r="F761" s="27"/>
      <c r="K761" s="27"/>
    </row>
    <row r="762" spans="1:11">
      <c r="A762" s="27"/>
      <c r="B762" s="27"/>
      <c r="D762" s="27"/>
      <c r="F762" s="27"/>
      <c r="K762" s="27"/>
    </row>
    <row r="763" spans="1:11">
      <c r="A763" s="27"/>
      <c r="B763" s="27"/>
      <c r="D763" s="27"/>
      <c r="F763" s="27"/>
      <c r="K763" s="27"/>
    </row>
    <row r="764" spans="1:11">
      <c r="A764" s="27"/>
      <c r="B764" s="27"/>
      <c r="D764" s="27"/>
      <c r="F764" s="27"/>
      <c r="K764" s="27"/>
    </row>
    <row r="765" spans="1:11">
      <c r="A765" s="27"/>
      <c r="B765" s="27"/>
      <c r="D765" s="27"/>
      <c r="F765" s="27"/>
      <c r="K765" s="27"/>
    </row>
    <row r="766" spans="1:11">
      <c r="A766" s="27"/>
      <c r="B766" s="27"/>
      <c r="D766" s="27"/>
      <c r="F766" s="27"/>
      <c r="K766" s="27"/>
    </row>
    <row r="767" spans="1:11">
      <c r="A767" s="27"/>
      <c r="B767" s="27"/>
      <c r="D767" s="27"/>
      <c r="F767" s="27"/>
      <c r="K767" s="27"/>
    </row>
    <row r="768" spans="1:11">
      <c r="A768" s="27"/>
      <c r="B768" s="27"/>
      <c r="D768" s="27"/>
      <c r="F768" s="27"/>
      <c r="K768" s="27"/>
    </row>
    <row r="769" spans="1:11">
      <c r="A769" s="27"/>
      <c r="B769" s="27"/>
      <c r="D769" s="27"/>
      <c r="F769" s="27"/>
      <c r="K769" s="27"/>
    </row>
    <row r="770" spans="1:11">
      <c r="A770" s="27"/>
      <c r="B770" s="27"/>
      <c r="D770" s="27"/>
      <c r="F770" s="27"/>
      <c r="K770" s="27"/>
    </row>
    <row r="771" spans="1:11">
      <c r="A771" s="27"/>
      <c r="B771" s="27"/>
      <c r="D771" s="27"/>
      <c r="F771" s="27"/>
      <c r="K771" s="27"/>
    </row>
    <row r="772" spans="1:11">
      <c r="A772" s="27"/>
      <c r="B772" s="27"/>
      <c r="D772" s="27"/>
      <c r="F772" s="27"/>
      <c r="K772" s="27"/>
    </row>
    <row r="773" spans="1:11">
      <c r="A773" s="27"/>
      <c r="B773" s="27"/>
      <c r="D773" s="27"/>
      <c r="F773" s="27"/>
      <c r="K773" s="27"/>
    </row>
    <row r="774" spans="1:11">
      <c r="A774" s="27"/>
      <c r="B774" s="27"/>
      <c r="D774" s="27"/>
      <c r="F774" s="27"/>
      <c r="K774" s="27"/>
    </row>
    <row r="775" spans="1:11">
      <c r="A775" s="27"/>
      <c r="B775" s="27"/>
      <c r="D775" s="27"/>
      <c r="F775" s="27"/>
      <c r="K775" s="27"/>
    </row>
    <row r="776" spans="1:11">
      <c r="A776" s="27"/>
      <c r="B776" s="27"/>
      <c r="D776" s="27"/>
      <c r="F776" s="27"/>
      <c r="K776" s="27"/>
    </row>
    <row r="777" spans="1:11">
      <c r="A777" s="27"/>
      <c r="B777" s="27"/>
      <c r="D777" s="27"/>
      <c r="F777" s="27"/>
      <c r="K777" s="27"/>
    </row>
    <row r="778" spans="1:11">
      <c r="A778" s="27"/>
      <c r="B778" s="27"/>
      <c r="D778" s="27"/>
      <c r="F778" s="27"/>
      <c r="K778" s="27"/>
    </row>
    <row r="779" spans="1:11">
      <c r="A779" s="27"/>
      <c r="B779" s="27"/>
      <c r="D779" s="27"/>
      <c r="F779" s="27"/>
      <c r="K779" s="27"/>
    </row>
    <row r="780" spans="1:11">
      <c r="A780" s="27"/>
      <c r="B780" s="27"/>
      <c r="D780" s="27"/>
      <c r="F780" s="27"/>
      <c r="K780" s="27"/>
    </row>
    <row r="781" spans="1:11">
      <c r="A781" s="27"/>
      <c r="B781" s="27"/>
      <c r="D781" s="27"/>
      <c r="F781" s="27"/>
      <c r="K781" s="27"/>
    </row>
    <row r="782" spans="1:11">
      <c r="A782" s="27"/>
      <c r="B782" s="27"/>
      <c r="D782" s="27"/>
      <c r="F782" s="27"/>
      <c r="K782" s="27"/>
    </row>
    <row r="783" spans="1:11">
      <c r="A783" s="27"/>
      <c r="B783" s="27"/>
      <c r="D783" s="27"/>
      <c r="F783" s="27"/>
      <c r="K783" s="27"/>
    </row>
    <row r="784" spans="1:11">
      <c r="A784" s="27"/>
      <c r="B784" s="27"/>
      <c r="D784" s="27"/>
      <c r="F784" s="27"/>
      <c r="K784" s="27"/>
    </row>
    <row r="785" spans="1:11">
      <c r="A785" s="27"/>
      <c r="B785" s="27"/>
      <c r="D785" s="27"/>
      <c r="F785" s="27"/>
      <c r="K785" s="27"/>
    </row>
    <row r="786" spans="1:11">
      <c r="A786" s="27"/>
      <c r="B786" s="27"/>
      <c r="D786" s="27"/>
      <c r="F786" s="27"/>
      <c r="K786" s="27"/>
    </row>
    <row r="787" spans="1:11">
      <c r="A787" s="27"/>
      <c r="B787" s="27"/>
      <c r="D787" s="27"/>
      <c r="F787" s="27"/>
      <c r="K787" s="27"/>
    </row>
    <row r="788" spans="1:11">
      <c r="A788" s="27"/>
      <c r="B788" s="27"/>
      <c r="D788" s="27"/>
      <c r="F788" s="27"/>
      <c r="K788" s="27"/>
    </row>
    <row r="789" spans="1:11">
      <c r="A789" s="27"/>
      <c r="B789" s="27"/>
      <c r="D789" s="27"/>
      <c r="F789" s="27"/>
      <c r="K789" s="27"/>
    </row>
    <row r="790" spans="1:11">
      <c r="A790" s="27"/>
      <c r="B790" s="27"/>
      <c r="D790" s="27"/>
      <c r="F790" s="27"/>
      <c r="K790" s="27"/>
    </row>
    <row r="791" spans="1:11">
      <c r="A791" s="27"/>
      <c r="B791" s="27"/>
      <c r="D791" s="27"/>
      <c r="F791" s="27"/>
      <c r="K791" s="27"/>
    </row>
    <row r="792" spans="1:11">
      <c r="A792" s="27"/>
      <c r="B792" s="27"/>
      <c r="D792" s="27"/>
      <c r="F792" s="27"/>
      <c r="K792" s="27"/>
    </row>
    <row r="793" spans="1:11">
      <c r="A793" s="27"/>
      <c r="B793" s="27"/>
      <c r="D793" s="27"/>
      <c r="F793" s="27"/>
      <c r="K793" s="27"/>
    </row>
    <row r="794" spans="1:11">
      <c r="A794" s="27"/>
      <c r="B794" s="27"/>
      <c r="D794" s="27"/>
      <c r="F794" s="27"/>
      <c r="K794" s="27"/>
    </row>
    <row r="795" spans="1:11">
      <c r="A795" s="27"/>
      <c r="B795" s="27"/>
      <c r="D795" s="27"/>
      <c r="F795" s="27"/>
      <c r="K795" s="27"/>
    </row>
    <row r="796" spans="1:11">
      <c r="A796" s="27"/>
      <c r="B796" s="27"/>
      <c r="D796" s="27"/>
      <c r="F796" s="27"/>
      <c r="K796" s="27"/>
    </row>
    <row r="797" spans="1:11">
      <c r="A797" s="27"/>
      <c r="B797" s="27"/>
      <c r="D797" s="27"/>
      <c r="F797" s="27"/>
      <c r="K797" s="27"/>
    </row>
    <row r="798" spans="1:11">
      <c r="A798" s="27"/>
      <c r="B798" s="27"/>
      <c r="D798" s="27"/>
      <c r="F798" s="27"/>
      <c r="K798" s="27"/>
    </row>
    <row r="799" spans="1:11">
      <c r="A799" s="27"/>
      <c r="B799" s="27"/>
      <c r="D799" s="27"/>
      <c r="F799" s="27"/>
      <c r="K799" s="27"/>
    </row>
    <row r="800" spans="1:11">
      <c r="A800" s="27"/>
      <c r="B800" s="27"/>
      <c r="D800" s="27"/>
      <c r="F800" s="27"/>
      <c r="K800" s="27"/>
    </row>
    <row r="801" spans="1:11">
      <c r="A801" s="27"/>
      <c r="B801" s="27"/>
      <c r="D801" s="27"/>
      <c r="F801" s="27"/>
      <c r="K801" s="27"/>
    </row>
    <row r="802" spans="1:11">
      <c r="A802" s="27"/>
      <c r="B802" s="27"/>
      <c r="D802" s="27"/>
      <c r="F802" s="27"/>
      <c r="K802" s="27"/>
    </row>
    <row r="803" spans="1:11">
      <c r="A803" s="27"/>
      <c r="B803" s="27"/>
      <c r="D803" s="27"/>
      <c r="F803" s="27"/>
      <c r="K803" s="27"/>
    </row>
    <row r="804" spans="1:11">
      <c r="A804" s="27"/>
      <c r="B804" s="27"/>
      <c r="D804" s="27"/>
      <c r="F804" s="27"/>
      <c r="K804" s="27"/>
    </row>
    <row r="805" spans="1:11">
      <c r="A805" s="27"/>
      <c r="B805" s="27"/>
      <c r="D805" s="27"/>
      <c r="F805" s="27"/>
      <c r="K805" s="27"/>
    </row>
    <row r="806" spans="1:11">
      <c r="A806" s="27"/>
      <c r="B806" s="27"/>
      <c r="D806" s="27"/>
      <c r="F806" s="27"/>
      <c r="K806" s="27"/>
    </row>
    <row r="807" spans="1:11">
      <c r="A807" s="27"/>
      <c r="B807" s="27"/>
      <c r="D807" s="27"/>
      <c r="F807" s="27"/>
      <c r="K807" s="27"/>
    </row>
    <row r="808" spans="1:11">
      <c r="A808" s="27"/>
      <c r="B808" s="27"/>
      <c r="D808" s="27"/>
      <c r="F808" s="27"/>
      <c r="K808" s="27"/>
    </row>
    <row r="809" spans="1:11">
      <c r="A809" s="27"/>
      <c r="B809" s="27"/>
      <c r="D809" s="27"/>
      <c r="F809" s="27"/>
      <c r="K809" s="27"/>
    </row>
    <row r="810" spans="1:11">
      <c r="A810" s="27"/>
      <c r="B810" s="27"/>
      <c r="D810" s="27"/>
      <c r="F810" s="27"/>
      <c r="K810" s="27"/>
    </row>
    <row r="811" spans="1:11">
      <c r="A811" s="27"/>
      <c r="B811" s="27"/>
      <c r="D811" s="27"/>
      <c r="F811" s="27"/>
      <c r="K811" s="27"/>
    </row>
    <row r="812" spans="1:11">
      <c r="A812" s="27"/>
      <c r="B812" s="27"/>
      <c r="D812" s="27"/>
      <c r="F812" s="27"/>
      <c r="K812" s="27"/>
    </row>
    <row r="813" spans="1:11">
      <c r="A813" s="27"/>
      <c r="B813" s="27"/>
      <c r="D813" s="27"/>
      <c r="F813" s="27"/>
      <c r="K813" s="27"/>
    </row>
    <row r="814" spans="1:11">
      <c r="A814" s="27"/>
      <c r="B814" s="27"/>
      <c r="D814" s="27"/>
      <c r="F814" s="27"/>
      <c r="K814" s="27"/>
    </row>
    <row r="815" spans="1:11">
      <c r="A815" s="27"/>
      <c r="B815" s="27"/>
      <c r="D815" s="27"/>
      <c r="F815" s="27"/>
      <c r="K815" s="27"/>
    </row>
    <row r="816" spans="1:11">
      <c r="A816" s="27"/>
      <c r="B816" s="27"/>
      <c r="D816" s="27"/>
      <c r="F816" s="27"/>
      <c r="K816" s="27"/>
    </row>
    <row r="817" spans="1:11">
      <c r="A817" s="27"/>
      <c r="B817" s="27"/>
      <c r="D817" s="27"/>
      <c r="F817" s="27"/>
      <c r="K817" s="27"/>
    </row>
    <row r="818" spans="1:11">
      <c r="A818" s="27"/>
      <c r="B818" s="27"/>
      <c r="D818" s="27"/>
      <c r="F818" s="27"/>
      <c r="K818" s="27"/>
    </row>
    <row r="819" spans="1:11">
      <c r="A819" s="27"/>
      <c r="B819" s="27"/>
      <c r="D819" s="27"/>
      <c r="F819" s="27"/>
      <c r="K819" s="27"/>
    </row>
    <row r="820" spans="1:11">
      <c r="A820" s="27"/>
      <c r="B820" s="27"/>
      <c r="D820" s="27"/>
      <c r="F820" s="27"/>
      <c r="K820" s="27"/>
    </row>
    <row r="821" spans="1:11">
      <c r="A821" s="27"/>
      <c r="B821" s="27"/>
      <c r="D821" s="27"/>
      <c r="F821" s="27"/>
      <c r="K821" s="27"/>
    </row>
    <row r="822" spans="1:11">
      <c r="A822" s="27"/>
      <c r="B822" s="27"/>
      <c r="D822" s="27"/>
      <c r="F822" s="27"/>
      <c r="K822" s="27"/>
    </row>
    <row r="823" spans="1:11">
      <c r="A823" s="27"/>
      <c r="B823" s="27"/>
      <c r="D823" s="27"/>
      <c r="F823" s="27"/>
      <c r="K823" s="27"/>
    </row>
    <row r="824" spans="1:11">
      <c r="A824" s="27"/>
      <c r="B824" s="27"/>
      <c r="D824" s="27"/>
      <c r="F824" s="27"/>
      <c r="K824" s="27"/>
    </row>
    <row r="825" spans="1:11">
      <c r="A825" s="27"/>
      <c r="B825" s="27"/>
      <c r="D825" s="27"/>
      <c r="F825" s="27"/>
      <c r="K825" s="27"/>
    </row>
    <row r="826" spans="1:11">
      <c r="A826" s="27"/>
      <c r="B826" s="27"/>
      <c r="D826" s="27"/>
      <c r="F826" s="27"/>
      <c r="K826" s="27"/>
    </row>
    <row r="827" spans="1:11">
      <c r="A827" s="27"/>
      <c r="B827" s="27"/>
      <c r="D827" s="27"/>
      <c r="F827" s="27"/>
      <c r="K827" s="27"/>
    </row>
    <row r="828" spans="1:11">
      <c r="A828" s="27"/>
      <c r="B828" s="27"/>
      <c r="D828" s="27"/>
      <c r="F828" s="27"/>
      <c r="K828" s="27"/>
    </row>
    <row r="829" spans="1:11">
      <c r="A829" s="27"/>
      <c r="B829" s="27"/>
      <c r="D829" s="27"/>
      <c r="F829" s="27"/>
      <c r="K829" s="27"/>
    </row>
    <row r="830" spans="1:11">
      <c r="A830" s="27"/>
      <c r="B830" s="27"/>
      <c r="D830" s="27"/>
      <c r="F830" s="27"/>
      <c r="K830" s="27"/>
    </row>
    <row r="831" spans="1:11">
      <c r="A831" s="27"/>
      <c r="B831" s="27"/>
      <c r="D831" s="27"/>
      <c r="F831" s="27"/>
      <c r="K831" s="27"/>
    </row>
    <row r="832" spans="1:11">
      <c r="A832" s="27"/>
      <c r="B832" s="27"/>
      <c r="D832" s="27"/>
      <c r="F832" s="27"/>
      <c r="K832" s="27"/>
    </row>
    <row r="833" spans="1:11">
      <c r="A833" s="27"/>
      <c r="B833" s="27"/>
      <c r="D833" s="27"/>
      <c r="F833" s="27"/>
      <c r="K833" s="27"/>
    </row>
    <row r="834" spans="1:11">
      <c r="A834" s="27"/>
      <c r="B834" s="27"/>
      <c r="D834" s="27"/>
      <c r="F834" s="27"/>
      <c r="K834" s="27"/>
    </row>
    <row r="835" spans="1:11">
      <c r="A835" s="27"/>
      <c r="B835" s="27"/>
      <c r="D835" s="27"/>
      <c r="F835" s="27"/>
      <c r="K835" s="27"/>
    </row>
    <row r="836" spans="1:11">
      <c r="A836" s="27"/>
      <c r="B836" s="27"/>
      <c r="D836" s="27"/>
      <c r="F836" s="27"/>
      <c r="K836" s="27"/>
    </row>
    <row r="837" spans="1:11">
      <c r="A837" s="27"/>
      <c r="B837" s="27"/>
      <c r="D837" s="27"/>
      <c r="F837" s="27"/>
      <c r="K837" s="27"/>
    </row>
    <row r="838" spans="1:11">
      <c r="A838" s="27"/>
      <c r="B838" s="27"/>
      <c r="D838" s="27"/>
      <c r="F838" s="27"/>
      <c r="K838" s="27"/>
    </row>
    <row r="839" spans="1:11">
      <c r="A839" s="27"/>
      <c r="B839" s="27"/>
      <c r="D839" s="27"/>
      <c r="F839" s="27"/>
      <c r="K839" s="27"/>
    </row>
    <row r="840" spans="1:11">
      <c r="A840" s="27"/>
      <c r="B840" s="27"/>
      <c r="D840" s="27"/>
      <c r="F840" s="27"/>
      <c r="K840" s="27"/>
    </row>
    <row r="841" spans="1:11">
      <c r="A841" s="27"/>
      <c r="B841" s="27"/>
      <c r="D841" s="27"/>
      <c r="F841" s="27"/>
      <c r="K841" s="27"/>
    </row>
    <row r="842" spans="1:11">
      <c r="A842" s="27"/>
      <c r="B842" s="27"/>
      <c r="D842" s="27"/>
      <c r="F842" s="27"/>
      <c r="K842" s="27"/>
    </row>
    <row r="843" spans="1:11">
      <c r="A843" s="27"/>
      <c r="B843" s="27"/>
      <c r="D843" s="27"/>
      <c r="F843" s="27"/>
      <c r="K843" s="27"/>
    </row>
    <row r="844" spans="1:11">
      <c r="A844" s="27"/>
      <c r="B844" s="27"/>
      <c r="D844" s="27"/>
      <c r="F844" s="27"/>
      <c r="K844" s="27"/>
    </row>
    <row r="845" spans="1:11">
      <c r="A845" s="27"/>
      <c r="B845" s="27"/>
      <c r="D845" s="27"/>
      <c r="F845" s="27"/>
      <c r="K845" s="27"/>
    </row>
    <row r="846" spans="1:11">
      <c r="A846" s="27"/>
      <c r="B846" s="27"/>
      <c r="D846" s="27"/>
      <c r="F846" s="27"/>
      <c r="K846" s="27"/>
    </row>
    <row r="847" spans="1:11">
      <c r="A847" s="27"/>
      <c r="B847" s="27"/>
      <c r="D847" s="27"/>
      <c r="F847" s="27"/>
      <c r="K847" s="27"/>
    </row>
    <row r="848" spans="1:11">
      <c r="A848" s="27"/>
      <c r="B848" s="27"/>
      <c r="D848" s="27"/>
      <c r="F848" s="27"/>
      <c r="K848" s="27"/>
    </row>
    <row r="849" spans="1:11">
      <c r="A849" s="27"/>
      <c r="B849" s="27"/>
      <c r="D849" s="27"/>
      <c r="F849" s="27"/>
      <c r="K849" s="27"/>
    </row>
    <row r="850" spans="1:11">
      <c r="A850" s="27"/>
      <c r="B850" s="27"/>
      <c r="D850" s="27"/>
      <c r="F850" s="27"/>
      <c r="K850" s="27"/>
    </row>
    <row r="851" spans="1:11">
      <c r="A851" s="27"/>
      <c r="B851" s="27"/>
      <c r="D851" s="27"/>
      <c r="F851" s="27"/>
      <c r="K851" s="27"/>
    </row>
    <row r="852" spans="1:11">
      <c r="A852" s="27"/>
      <c r="B852" s="27"/>
      <c r="D852" s="27"/>
      <c r="F852" s="27"/>
      <c r="K852" s="27"/>
    </row>
    <row r="853" spans="1:11">
      <c r="A853" s="27"/>
      <c r="B853" s="27"/>
      <c r="D853" s="27"/>
      <c r="F853" s="27"/>
      <c r="K853" s="27"/>
    </row>
    <row r="854" spans="1:11">
      <c r="A854" s="27"/>
      <c r="B854" s="27"/>
      <c r="D854" s="27"/>
      <c r="F854" s="27"/>
      <c r="K854" s="27"/>
    </row>
    <row r="855" spans="1:11">
      <c r="A855" s="27"/>
      <c r="B855" s="27"/>
      <c r="D855" s="27"/>
      <c r="F855" s="27"/>
      <c r="K855" s="27"/>
    </row>
    <row r="856" spans="1:11">
      <c r="A856" s="27"/>
      <c r="B856" s="27"/>
      <c r="D856" s="27"/>
      <c r="F856" s="27"/>
      <c r="K856" s="27"/>
    </row>
    <row r="857" spans="1:11">
      <c r="A857" s="27"/>
      <c r="B857" s="27"/>
      <c r="D857" s="27"/>
      <c r="F857" s="27"/>
      <c r="K857" s="27"/>
    </row>
    <row r="858" spans="1:11">
      <c r="A858" s="27"/>
      <c r="B858" s="27"/>
      <c r="D858" s="27"/>
      <c r="F858" s="27"/>
      <c r="K858" s="27"/>
    </row>
    <row r="859" spans="1:11">
      <c r="A859" s="27"/>
      <c r="B859" s="27"/>
      <c r="D859" s="27"/>
      <c r="F859" s="27"/>
      <c r="K859" s="27"/>
    </row>
    <row r="860" spans="1:11">
      <c r="A860" s="27"/>
      <c r="B860" s="27"/>
      <c r="D860" s="27"/>
      <c r="F860" s="27"/>
      <c r="K860" s="27"/>
    </row>
    <row r="861" spans="1:11">
      <c r="A861" s="27"/>
      <c r="B861" s="27"/>
      <c r="D861" s="27"/>
      <c r="F861" s="27"/>
      <c r="K861" s="27"/>
    </row>
    <row r="862" spans="1:11">
      <c r="A862" s="27"/>
      <c r="B862" s="27"/>
      <c r="D862" s="27"/>
      <c r="F862" s="27"/>
      <c r="K862" s="27"/>
    </row>
    <row r="863" spans="1:11">
      <c r="A863" s="27"/>
      <c r="B863" s="27"/>
      <c r="D863" s="27"/>
      <c r="F863" s="27"/>
      <c r="K863" s="27"/>
    </row>
    <row r="864" spans="1:11">
      <c r="A864" s="27"/>
      <c r="B864" s="27"/>
      <c r="D864" s="27"/>
      <c r="F864" s="27"/>
      <c r="K864" s="27"/>
    </row>
    <row r="865" spans="1:11">
      <c r="A865" s="27"/>
      <c r="B865" s="27"/>
      <c r="D865" s="27"/>
      <c r="F865" s="27"/>
      <c r="K865" s="27"/>
    </row>
    <row r="866" spans="1:11">
      <c r="A866" s="27"/>
      <c r="B866" s="27"/>
      <c r="D866" s="27"/>
      <c r="F866" s="27"/>
      <c r="K866" s="27"/>
    </row>
    <row r="867" spans="1:11">
      <c r="A867" s="27"/>
      <c r="B867" s="27"/>
      <c r="D867" s="27"/>
      <c r="F867" s="27"/>
      <c r="K867" s="27"/>
    </row>
    <row r="868" spans="1:11">
      <c r="A868" s="27"/>
      <c r="B868" s="27"/>
      <c r="D868" s="27"/>
      <c r="F868" s="27"/>
      <c r="K868" s="27"/>
    </row>
    <row r="869" spans="1:11">
      <c r="A869" s="27"/>
      <c r="B869" s="27"/>
      <c r="D869" s="27"/>
      <c r="F869" s="27"/>
      <c r="K869" s="27"/>
    </row>
    <row r="870" spans="1:11">
      <c r="A870" s="27"/>
      <c r="B870" s="27"/>
      <c r="D870" s="27"/>
      <c r="F870" s="27"/>
      <c r="K870" s="27"/>
    </row>
    <row r="871" spans="1:11">
      <c r="A871" s="27"/>
      <c r="B871" s="27"/>
      <c r="D871" s="27"/>
      <c r="F871" s="27"/>
      <c r="K871" s="27"/>
    </row>
    <row r="872" spans="1:11">
      <c r="A872" s="27"/>
      <c r="B872" s="27"/>
      <c r="D872" s="27"/>
      <c r="F872" s="27"/>
      <c r="K872" s="27"/>
    </row>
    <row r="873" spans="1:11">
      <c r="A873" s="27"/>
      <c r="B873" s="27"/>
      <c r="D873" s="27"/>
      <c r="F873" s="27"/>
      <c r="K873" s="27"/>
    </row>
    <row r="874" spans="1:11">
      <c r="A874" s="27"/>
      <c r="B874" s="27"/>
      <c r="D874" s="27"/>
      <c r="F874" s="27"/>
      <c r="K874" s="27"/>
    </row>
    <row r="875" spans="1:11">
      <c r="A875" s="27"/>
      <c r="B875" s="27"/>
      <c r="D875" s="27"/>
      <c r="F875" s="27"/>
      <c r="K875" s="27"/>
    </row>
    <row r="876" spans="1:11">
      <c r="A876" s="27"/>
      <c r="B876" s="27"/>
      <c r="D876" s="27"/>
      <c r="F876" s="27"/>
      <c r="K876" s="27"/>
    </row>
    <row r="877" spans="1:11">
      <c r="A877" s="27"/>
      <c r="B877" s="27"/>
      <c r="D877" s="27"/>
      <c r="F877" s="27"/>
      <c r="K877" s="27"/>
    </row>
    <row r="878" spans="1:11">
      <c r="A878" s="27"/>
      <c r="B878" s="27"/>
      <c r="D878" s="27"/>
      <c r="F878" s="27"/>
      <c r="K878" s="27"/>
    </row>
    <row r="879" spans="1:11">
      <c r="A879" s="27"/>
      <c r="B879" s="27"/>
      <c r="D879" s="27"/>
      <c r="F879" s="27"/>
      <c r="K879" s="27"/>
    </row>
    <row r="880" spans="1:11">
      <c r="A880" s="27"/>
      <c r="B880" s="27"/>
      <c r="D880" s="27"/>
      <c r="F880" s="27"/>
      <c r="K880" s="27"/>
    </row>
    <row r="881" spans="1:11">
      <c r="A881" s="27"/>
      <c r="B881" s="27"/>
      <c r="D881" s="27"/>
      <c r="F881" s="27"/>
      <c r="K881" s="27"/>
    </row>
    <row r="882" spans="1:11">
      <c r="A882" s="27"/>
      <c r="B882" s="27"/>
      <c r="D882" s="27"/>
      <c r="F882" s="27"/>
      <c r="K882" s="27"/>
    </row>
    <row r="883" spans="1:11">
      <c r="A883" s="27"/>
      <c r="B883" s="27"/>
      <c r="D883" s="27"/>
      <c r="F883" s="27"/>
      <c r="K883" s="27"/>
    </row>
    <row r="884" spans="1:11">
      <c r="A884" s="27"/>
      <c r="B884" s="27"/>
      <c r="D884" s="27"/>
      <c r="F884" s="27"/>
      <c r="K884" s="27"/>
    </row>
    <row r="885" spans="1:11">
      <c r="A885" s="27"/>
      <c r="B885" s="27"/>
      <c r="D885" s="27"/>
      <c r="F885" s="27"/>
      <c r="K885" s="27"/>
    </row>
    <row r="886" spans="1:11">
      <c r="A886" s="27"/>
      <c r="B886" s="27"/>
      <c r="D886" s="27"/>
      <c r="F886" s="27"/>
      <c r="K886" s="27"/>
    </row>
    <row r="887" spans="1:11">
      <c r="A887" s="27"/>
      <c r="B887" s="27"/>
      <c r="D887" s="27"/>
      <c r="F887" s="27"/>
      <c r="K887" s="27"/>
    </row>
    <row r="888" spans="1:11">
      <c r="A888" s="27"/>
      <c r="B888" s="27"/>
      <c r="D888" s="27"/>
      <c r="F888" s="27"/>
      <c r="K888" s="27"/>
    </row>
    <row r="889" spans="1:11">
      <c r="A889" s="27"/>
      <c r="B889" s="27"/>
      <c r="D889" s="27"/>
      <c r="F889" s="27"/>
      <c r="K889" s="27"/>
    </row>
    <row r="890" spans="1:11">
      <c r="A890" s="27"/>
      <c r="B890" s="27"/>
      <c r="D890" s="27"/>
      <c r="F890" s="27"/>
      <c r="K890" s="27"/>
    </row>
    <row r="891" spans="1:11">
      <c r="A891" s="27"/>
      <c r="B891" s="27"/>
      <c r="D891" s="27"/>
      <c r="F891" s="27"/>
      <c r="K891" s="27"/>
    </row>
    <row r="892" spans="1:11">
      <c r="A892" s="27"/>
      <c r="B892" s="27"/>
      <c r="D892" s="27"/>
      <c r="F892" s="27"/>
      <c r="K892" s="27"/>
    </row>
    <row r="893" spans="1:11">
      <c r="A893" s="27"/>
      <c r="B893" s="27"/>
      <c r="D893" s="27"/>
      <c r="F893" s="27"/>
      <c r="K893" s="27"/>
    </row>
    <row r="894" spans="1:11">
      <c r="A894" s="27"/>
      <c r="B894" s="27"/>
      <c r="D894" s="27"/>
      <c r="F894" s="27"/>
      <c r="K894" s="27"/>
    </row>
    <row r="895" spans="1:11">
      <c r="A895" s="27"/>
      <c r="B895" s="27"/>
      <c r="D895" s="27"/>
      <c r="F895" s="27"/>
      <c r="K895" s="27"/>
    </row>
    <row r="896" spans="1:11">
      <c r="A896" s="27"/>
      <c r="B896" s="27"/>
      <c r="D896" s="27"/>
      <c r="F896" s="27"/>
      <c r="K896" s="27"/>
    </row>
    <row r="897" spans="1:11">
      <c r="A897" s="27"/>
      <c r="B897" s="27"/>
      <c r="D897" s="27"/>
      <c r="F897" s="27"/>
      <c r="K897" s="27"/>
    </row>
    <row r="898" spans="1:11">
      <c r="A898" s="27"/>
      <c r="B898" s="27"/>
      <c r="D898" s="27"/>
      <c r="F898" s="27"/>
      <c r="K898" s="27"/>
    </row>
    <row r="899" spans="1:11">
      <c r="A899" s="27"/>
      <c r="B899" s="27"/>
      <c r="D899" s="27"/>
      <c r="F899" s="27"/>
      <c r="K899" s="27"/>
    </row>
    <row r="900" spans="1:11">
      <c r="A900" s="27"/>
      <c r="B900" s="27"/>
      <c r="D900" s="27"/>
      <c r="F900" s="27"/>
      <c r="K900" s="27"/>
    </row>
    <row r="901" spans="1:11">
      <c r="A901" s="27"/>
      <c r="B901" s="27"/>
      <c r="D901" s="27"/>
      <c r="F901" s="27"/>
      <c r="K901" s="27"/>
    </row>
    <row r="902" spans="1:11">
      <c r="A902" s="27"/>
      <c r="B902" s="27"/>
      <c r="D902" s="27"/>
      <c r="F902" s="27"/>
      <c r="K902" s="27"/>
    </row>
    <row r="903" spans="1:11">
      <c r="A903" s="27"/>
      <c r="B903" s="27"/>
      <c r="D903" s="27"/>
      <c r="F903" s="27"/>
      <c r="K903" s="27"/>
    </row>
    <row r="904" spans="1:11">
      <c r="A904" s="27"/>
      <c r="B904" s="27"/>
      <c r="D904" s="27"/>
      <c r="F904" s="27"/>
      <c r="K904" s="27"/>
    </row>
    <row r="905" spans="1:11">
      <c r="A905" s="27"/>
      <c r="B905" s="27"/>
      <c r="D905" s="27"/>
      <c r="F905" s="27"/>
      <c r="K905" s="27"/>
    </row>
    <row r="906" spans="1:11">
      <c r="A906" s="27"/>
      <c r="B906" s="27"/>
      <c r="D906" s="27"/>
      <c r="F906" s="27"/>
      <c r="K906" s="27"/>
    </row>
    <row r="907" spans="1:11">
      <c r="A907" s="27"/>
      <c r="B907" s="27"/>
      <c r="D907" s="27"/>
      <c r="F907" s="27"/>
      <c r="K907" s="27"/>
    </row>
    <row r="908" spans="1:11">
      <c r="A908" s="27"/>
      <c r="B908" s="27"/>
      <c r="D908" s="27"/>
      <c r="F908" s="27"/>
      <c r="K908" s="27"/>
    </row>
    <row r="909" spans="1:11">
      <c r="A909" s="27"/>
      <c r="B909" s="27"/>
      <c r="D909" s="27"/>
      <c r="F909" s="27"/>
      <c r="K909" s="27"/>
    </row>
    <row r="910" spans="1:11">
      <c r="A910" s="27"/>
      <c r="B910" s="27"/>
      <c r="D910" s="27"/>
      <c r="F910" s="27"/>
      <c r="K910" s="27"/>
    </row>
    <row r="911" spans="1:11">
      <c r="A911" s="27"/>
      <c r="B911" s="27"/>
      <c r="D911" s="27"/>
      <c r="F911" s="27"/>
      <c r="K911" s="27"/>
    </row>
    <row r="912" spans="1:11">
      <c r="A912" s="27"/>
      <c r="B912" s="27"/>
      <c r="D912" s="27"/>
      <c r="F912" s="27"/>
      <c r="K912" s="27"/>
    </row>
    <row r="913" spans="1:11">
      <c r="A913" s="27"/>
      <c r="B913" s="27"/>
      <c r="D913" s="27"/>
      <c r="F913" s="27"/>
      <c r="K913" s="27"/>
    </row>
    <row r="914" spans="1:11">
      <c r="A914" s="27"/>
      <c r="B914" s="27"/>
      <c r="D914" s="27"/>
      <c r="F914" s="27"/>
      <c r="K914" s="27"/>
    </row>
    <row r="915" spans="1:11">
      <c r="A915" s="27"/>
      <c r="B915" s="27"/>
      <c r="D915" s="27"/>
      <c r="F915" s="27"/>
      <c r="K915" s="27"/>
    </row>
    <row r="916" spans="1:11">
      <c r="A916" s="27"/>
      <c r="B916" s="27"/>
      <c r="D916" s="27"/>
      <c r="F916" s="27"/>
      <c r="K916" s="27"/>
    </row>
    <row r="917" spans="1:11">
      <c r="A917" s="27"/>
      <c r="B917" s="27"/>
      <c r="D917" s="27"/>
      <c r="F917" s="27"/>
      <c r="K917" s="27"/>
    </row>
    <row r="918" spans="1:11">
      <c r="A918" s="27"/>
      <c r="B918" s="27"/>
      <c r="D918" s="27"/>
      <c r="F918" s="27"/>
      <c r="K918" s="27"/>
    </row>
    <row r="919" spans="1:11">
      <c r="A919" s="27"/>
      <c r="B919" s="27"/>
      <c r="D919" s="27"/>
      <c r="F919" s="27"/>
      <c r="K919" s="27"/>
    </row>
    <row r="920" spans="1:11">
      <c r="A920" s="27"/>
      <c r="B920" s="27"/>
      <c r="D920" s="27"/>
      <c r="F920" s="27"/>
      <c r="K920" s="27"/>
    </row>
    <row r="921" spans="1:11">
      <c r="A921" s="27"/>
      <c r="B921" s="27"/>
      <c r="D921" s="27"/>
      <c r="F921" s="27"/>
      <c r="K921" s="27"/>
    </row>
    <row r="922" spans="1:11">
      <c r="A922" s="27"/>
      <c r="B922" s="27"/>
      <c r="D922" s="27"/>
      <c r="F922" s="27"/>
      <c r="K922" s="27"/>
    </row>
    <row r="923" spans="1:11">
      <c r="A923" s="27"/>
      <c r="B923" s="27"/>
      <c r="D923" s="27"/>
      <c r="F923" s="27"/>
      <c r="K923" s="27"/>
    </row>
    <row r="924" spans="1:11">
      <c r="A924" s="27"/>
      <c r="B924" s="27"/>
      <c r="D924" s="27"/>
      <c r="F924" s="27"/>
      <c r="K924" s="27"/>
    </row>
    <row r="925" spans="1:11">
      <c r="A925" s="27"/>
      <c r="B925" s="27"/>
      <c r="D925" s="27"/>
      <c r="F925" s="27"/>
      <c r="K925" s="27"/>
    </row>
    <row r="926" spans="1:11">
      <c r="A926" s="27"/>
      <c r="B926" s="27"/>
      <c r="D926" s="27"/>
      <c r="F926" s="27"/>
      <c r="K926" s="27"/>
    </row>
    <row r="927" spans="1:11">
      <c r="A927" s="27"/>
      <c r="B927" s="27"/>
      <c r="D927" s="27"/>
      <c r="F927" s="27"/>
      <c r="K927" s="27"/>
    </row>
    <row r="928" spans="1:11">
      <c r="A928" s="27"/>
      <c r="B928" s="27"/>
      <c r="D928" s="27"/>
      <c r="F928" s="27"/>
      <c r="K928" s="27"/>
    </row>
    <row r="929" spans="1:11">
      <c r="A929" s="27"/>
      <c r="B929" s="27"/>
      <c r="D929" s="27"/>
      <c r="F929" s="27"/>
      <c r="K929" s="27"/>
    </row>
    <row r="930" spans="1:11">
      <c r="A930" s="27"/>
      <c r="B930" s="27"/>
      <c r="D930" s="27"/>
      <c r="F930" s="27"/>
      <c r="K930" s="27"/>
    </row>
    <row r="931" spans="1:11">
      <c r="A931" s="27"/>
      <c r="B931" s="27"/>
      <c r="D931" s="27"/>
      <c r="F931" s="27"/>
      <c r="K931" s="27"/>
    </row>
    <row r="932" spans="1:11">
      <c r="A932" s="27"/>
      <c r="B932" s="27"/>
      <c r="D932" s="27"/>
      <c r="F932" s="27"/>
      <c r="K932" s="27"/>
    </row>
    <row r="933" spans="1:11">
      <c r="A933" s="27"/>
      <c r="B933" s="27"/>
      <c r="D933" s="27"/>
      <c r="F933" s="27"/>
      <c r="K933" s="27"/>
    </row>
    <row r="934" spans="1:11">
      <c r="A934" s="27"/>
      <c r="B934" s="27"/>
      <c r="D934" s="27"/>
      <c r="F934" s="27"/>
      <c r="K934" s="27"/>
    </row>
    <row r="935" spans="1:11">
      <c r="A935" s="27"/>
      <c r="B935" s="27"/>
      <c r="D935" s="27"/>
      <c r="F935" s="27"/>
      <c r="K935" s="27"/>
    </row>
    <row r="936" spans="1:11">
      <c r="A936" s="27"/>
      <c r="B936" s="27"/>
      <c r="D936" s="27"/>
      <c r="F936" s="27"/>
      <c r="K936" s="27"/>
    </row>
    <row r="937" spans="1:11">
      <c r="A937" s="27"/>
      <c r="B937" s="27"/>
      <c r="D937" s="27"/>
      <c r="F937" s="27"/>
      <c r="K937" s="27"/>
    </row>
    <row r="938" spans="1:11">
      <c r="A938" s="27"/>
      <c r="B938" s="27"/>
      <c r="D938" s="27"/>
      <c r="F938" s="27"/>
      <c r="K938" s="27"/>
    </row>
    <row r="939" spans="1:11">
      <c r="A939" s="27"/>
      <c r="B939" s="27"/>
      <c r="D939" s="27"/>
      <c r="F939" s="27"/>
      <c r="K939" s="27"/>
    </row>
    <row r="940" spans="1:11">
      <c r="A940" s="27"/>
      <c r="B940" s="27"/>
      <c r="D940" s="27"/>
      <c r="F940" s="27"/>
      <c r="K940" s="27"/>
    </row>
    <row r="941" spans="1:11">
      <c r="A941" s="27"/>
      <c r="B941" s="27"/>
      <c r="D941" s="27"/>
      <c r="F941" s="27"/>
      <c r="K941" s="27"/>
    </row>
    <row r="942" spans="1:11">
      <c r="A942" s="27"/>
      <c r="B942" s="27"/>
      <c r="D942" s="27"/>
      <c r="F942" s="27"/>
      <c r="K942" s="27"/>
    </row>
    <row r="943" spans="1:11">
      <c r="A943" s="27"/>
      <c r="B943" s="27"/>
      <c r="D943" s="27"/>
      <c r="F943" s="27"/>
      <c r="K943" s="27"/>
    </row>
    <row r="944" spans="1:11">
      <c r="A944" s="27"/>
      <c r="B944" s="27"/>
      <c r="D944" s="27"/>
      <c r="F944" s="27"/>
      <c r="K944" s="27"/>
    </row>
    <row r="945" spans="1:11">
      <c r="A945" s="27"/>
      <c r="B945" s="27"/>
      <c r="D945" s="27"/>
      <c r="F945" s="27"/>
      <c r="K945" s="27"/>
    </row>
    <row r="946" spans="1:11">
      <c r="A946" s="27"/>
      <c r="B946" s="27"/>
      <c r="D946" s="27"/>
      <c r="F946" s="27"/>
      <c r="K946" s="27"/>
    </row>
    <row r="947" spans="1:11">
      <c r="A947" s="27"/>
      <c r="B947" s="27"/>
      <c r="D947" s="27"/>
      <c r="F947" s="27"/>
      <c r="K947" s="27"/>
    </row>
    <row r="948" spans="1:11">
      <c r="A948" s="27"/>
      <c r="B948" s="27"/>
      <c r="D948" s="27"/>
      <c r="F948" s="27"/>
      <c r="K948" s="27"/>
    </row>
    <row r="949" spans="1:11">
      <c r="A949" s="27"/>
      <c r="B949" s="27"/>
      <c r="D949" s="27"/>
      <c r="F949" s="27"/>
      <c r="K949" s="27"/>
    </row>
    <row r="950" spans="1:11">
      <c r="A950" s="27"/>
      <c r="B950" s="27"/>
      <c r="D950" s="27"/>
      <c r="F950" s="27"/>
      <c r="K950" s="27"/>
    </row>
    <row r="951" spans="1:11">
      <c r="A951" s="27"/>
      <c r="B951" s="27"/>
      <c r="D951" s="27"/>
      <c r="F951" s="27"/>
      <c r="K951" s="27"/>
    </row>
    <row r="952" spans="1:11">
      <c r="A952" s="27"/>
      <c r="B952" s="27"/>
      <c r="D952" s="27"/>
      <c r="F952" s="27"/>
      <c r="K952" s="27"/>
    </row>
    <row r="953" spans="1:11">
      <c r="A953" s="27"/>
      <c r="B953" s="27"/>
      <c r="D953" s="27"/>
      <c r="F953" s="27"/>
      <c r="K953" s="27"/>
    </row>
    <row r="954" spans="1:11">
      <c r="A954" s="27"/>
      <c r="B954" s="27"/>
      <c r="D954" s="27"/>
      <c r="F954" s="27"/>
      <c r="K954" s="27"/>
    </row>
    <row r="955" spans="1:11">
      <c r="A955" s="27"/>
      <c r="B955" s="27"/>
      <c r="D955" s="27"/>
      <c r="F955" s="27"/>
      <c r="K955" s="27"/>
    </row>
    <row r="956" spans="1:11">
      <c r="A956" s="27"/>
      <c r="B956" s="27"/>
      <c r="D956" s="27"/>
      <c r="F956" s="27"/>
      <c r="K956" s="27"/>
    </row>
    <row r="957" spans="1:11">
      <c r="A957" s="27"/>
      <c r="B957" s="27"/>
      <c r="D957" s="27"/>
      <c r="F957" s="27"/>
      <c r="K957" s="27"/>
    </row>
    <row r="958" spans="1:11">
      <c r="A958" s="27"/>
      <c r="B958" s="27"/>
      <c r="D958" s="27"/>
      <c r="F958" s="27"/>
      <c r="K958" s="27"/>
    </row>
    <row r="959" spans="1:11">
      <c r="A959" s="27"/>
      <c r="B959" s="27"/>
      <c r="D959" s="27"/>
      <c r="F959" s="27"/>
      <c r="K959" s="27"/>
    </row>
    <row r="960" spans="1:11">
      <c r="A960" s="27"/>
      <c r="B960" s="27"/>
      <c r="D960" s="27"/>
      <c r="F960" s="27"/>
      <c r="K960" s="27"/>
    </row>
    <row r="961" spans="1:11">
      <c r="A961" s="27"/>
      <c r="B961" s="27"/>
      <c r="D961" s="27"/>
      <c r="F961" s="27"/>
      <c r="K961" s="27"/>
    </row>
    <row r="962" spans="1:11">
      <c r="A962" s="27"/>
      <c r="B962" s="27"/>
      <c r="D962" s="27"/>
      <c r="F962" s="27"/>
      <c r="K962" s="27"/>
    </row>
    <row r="963" spans="1:11">
      <c r="A963" s="27"/>
      <c r="B963" s="27"/>
      <c r="D963" s="27"/>
      <c r="F963" s="27"/>
      <c r="K963" s="27"/>
    </row>
    <row r="964" spans="1:11">
      <c r="A964" s="27"/>
      <c r="B964" s="27"/>
      <c r="D964" s="27"/>
      <c r="F964" s="27"/>
      <c r="K964" s="27"/>
    </row>
    <row r="965" spans="1:11">
      <c r="A965" s="27"/>
      <c r="B965" s="27"/>
      <c r="D965" s="27"/>
      <c r="F965" s="27"/>
      <c r="K965" s="27"/>
    </row>
    <row r="966" spans="1:11">
      <c r="A966" s="27"/>
      <c r="B966" s="27"/>
      <c r="D966" s="27"/>
      <c r="F966" s="27"/>
      <c r="K966" s="27"/>
    </row>
    <row r="967" spans="1:11">
      <c r="A967" s="27"/>
      <c r="B967" s="27"/>
      <c r="D967" s="27"/>
      <c r="F967" s="27"/>
      <c r="K967" s="27"/>
    </row>
    <row r="968" spans="1:11">
      <c r="A968" s="27"/>
      <c r="B968" s="27"/>
      <c r="D968" s="27"/>
      <c r="F968" s="27"/>
      <c r="K968" s="27"/>
    </row>
    <row r="969" spans="1:11">
      <c r="A969" s="27"/>
      <c r="B969" s="27"/>
      <c r="D969" s="27"/>
      <c r="F969" s="27"/>
      <c r="K969" s="27"/>
    </row>
    <row r="970" spans="1:11">
      <c r="A970" s="27"/>
      <c r="B970" s="27"/>
      <c r="D970" s="27"/>
      <c r="F970" s="27"/>
      <c r="K970" s="27"/>
    </row>
    <row r="971" spans="1:11">
      <c r="A971" s="27"/>
      <c r="B971" s="27"/>
      <c r="D971" s="27"/>
      <c r="F971" s="27"/>
      <c r="K971" s="27"/>
    </row>
    <row r="972" spans="1:11">
      <c r="A972" s="27"/>
      <c r="B972" s="27"/>
      <c r="D972" s="27"/>
      <c r="F972" s="27"/>
      <c r="K972" s="27"/>
    </row>
    <row r="973" spans="1:11">
      <c r="A973" s="27"/>
      <c r="B973" s="27"/>
      <c r="D973" s="27"/>
      <c r="F973" s="27"/>
      <c r="K973" s="27"/>
    </row>
    <row r="974" spans="1:11">
      <c r="A974" s="27"/>
      <c r="B974" s="27"/>
      <c r="D974" s="27"/>
      <c r="F974" s="27"/>
      <c r="K974" s="27"/>
    </row>
    <row r="975" spans="1:11">
      <c r="A975" s="27"/>
      <c r="B975" s="27"/>
      <c r="D975" s="27"/>
      <c r="F975" s="27"/>
      <c r="K975" s="27"/>
    </row>
    <row r="976" spans="1:11">
      <c r="A976" s="27"/>
      <c r="B976" s="27"/>
      <c r="D976" s="27"/>
      <c r="F976" s="27"/>
      <c r="K976" s="27"/>
    </row>
    <row r="977" spans="1:11">
      <c r="A977" s="27"/>
      <c r="B977" s="27"/>
      <c r="D977" s="27"/>
      <c r="F977" s="27"/>
      <c r="K977" s="27"/>
    </row>
    <row r="978" spans="1:11">
      <c r="A978" s="27"/>
      <c r="B978" s="27"/>
      <c r="D978" s="27"/>
      <c r="F978" s="27"/>
      <c r="K978" s="27"/>
    </row>
    <row r="979" spans="1:11">
      <c r="A979" s="27"/>
      <c r="B979" s="27"/>
      <c r="D979" s="27"/>
      <c r="F979" s="27"/>
      <c r="K979" s="27"/>
    </row>
    <row r="980" spans="1:11">
      <c r="A980" s="27"/>
      <c r="B980" s="27"/>
      <c r="D980" s="27"/>
      <c r="F980" s="27"/>
      <c r="K980" s="27"/>
    </row>
    <row r="981" spans="1:11">
      <c r="A981" s="27"/>
      <c r="B981" s="27"/>
      <c r="D981" s="27"/>
      <c r="F981" s="27"/>
      <c r="K981" s="27"/>
    </row>
    <row r="982" spans="1:11">
      <c r="A982" s="27"/>
      <c r="B982" s="27"/>
      <c r="D982" s="27"/>
      <c r="F982" s="27"/>
      <c r="K982" s="27"/>
    </row>
    <row r="983" spans="1:11">
      <c r="A983" s="27"/>
      <c r="B983" s="27"/>
      <c r="D983" s="27"/>
      <c r="F983" s="27"/>
      <c r="K983" s="27"/>
    </row>
    <row r="984" spans="1:11">
      <c r="A984" s="27"/>
      <c r="B984" s="27"/>
      <c r="D984" s="27"/>
      <c r="F984" s="27"/>
      <c r="K984" s="27"/>
    </row>
    <row r="985" spans="1:11">
      <c r="A985" s="27"/>
      <c r="B985" s="27"/>
      <c r="D985" s="27"/>
      <c r="F985" s="27"/>
      <c r="K985" s="27"/>
    </row>
    <row r="986" spans="1:11">
      <c r="A986" s="27"/>
      <c r="B986" s="27"/>
      <c r="D986" s="27"/>
      <c r="F986" s="27"/>
      <c r="K986" s="27"/>
    </row>
    <row r="987" spans="1:11">
      <c r="A987" s="27"/>
      <c r="B987" s="27"/>
      <c r="D987" s="27"/>
      <c r="F987" s="27"/>
      <c r="K987" s="27"/>
    </row>
    <row r="988" spans="1:11">
      <c r="A988" s="27"/>
      <c r="B988" s="27"/>
      <c r="D988" s="27"/>
      <c r="F988" s="27"/>
      <c r="K988" s="27"/>
    </row>
    <row r="989" spans="1:11">
      <c r="A989" s="27"/>
      <c r="B989" s="27"/>
      <c r="D989" s="27"/>
      <c r="F989" s="27"/>
      <c r="K989" s="27"/>
    </row>
    <row r="990" spans="1:11">
      <c r="A990" s="27"/>
      <c r="B990" s="27"/>
      <c r="D990" s="27"/>
      <c r="F990" s="27"/>
      <c r="K990" s="27"/>
    </row>
    <row r="991" spans="1:11">
      <c r="A991" s="27"/>
      <c r="B991" s="27"/>
      <c r="D991" s="27"/>
      <c r="F991" s="27"/>
      <c r="K991" s="27"/>
    </row>
    <row r="992" spans="1:11">
      <c r="A992" s="27"/>
      <c r="B992" s="27"/>
      <c r="D992" s="27"/>
      <c r="F992" s="27"/>
      <c r="K992" s="27"/>
    </row>
    <row r="993" spans="1:11">
      <c r="A993" s="27"/>
      <c r="B993" s="27"/>
      <c r="D993" s="27"/>
      <c r="F993" s="27"/>
      <c r="K993" s="27"/>
    </row>
    <row r="994" spans="1:11">
      <c r="A994" s="27"/>
      <c r="B994" s="27"/>
      <c r="D994" s="27"/>
      <c r="F994" s="27"/>
      <c r="K994" s="27"/>
    </row>
    <row r="995" spans="1:11">
      <c r="A995" s="27"/>
      <c r="B995" s="27"/>
      <c r="D995" s="27"/>
      <c r="F995" s="27"/>
      <c r="K995" s="27"/>
    </row>
    <row r="996" spans="1:11">
      <c r="A996" s="27"/>
      <c r="B996" s="27"/>
      <c r="D996" s="27"/>
      <c r="F996" s="27"/>
      <c r="K996" s="27"/>
    </row>
    <row r="997" spans="1:11">
      <c r="A997" s="27"/>
      <c r="B997" s="27"/>
      <c r="D997" s="27"/>
      <c r="F997" s="27"/>
      <c r="K997" s="27"/>
    </row>
    <row r="998" spans="1:11">
      <c r="A998" s="27"/>
      <c r="B998" s="27"/>
      <c r="D998" s="27"/>
      <c r="F998" s="27"/>
      <c r="K998" s="27"/>
    </row>
    <row r="999" spans="1:11">
      <c r="A999" s="27"/>
      <c r="B999" s="27"/>
      <c r="D999" s="27"/>
      <c r="F999" s="27"/>
      <c r="K999" s="27"/>
    </row>
    <row r="1000" spans="1:11">
      <c r="A1000" s="27"/>
      <c r="B1000" s="27"/>
      <c r="D1000" s="27"/>
      <c r="F1000" s="27"/>
      <c r="K1000" s="27"/>
    </row>
    <row r="1001" spans="1:11">
      <c r="A1001" s="27"/>
      <c r="B1001" s="27"/>
      <c r="D1001" s="27"/>
      <c r="F1001" s="27"/>
      <c r="K1001" s="27"/>
    </row>
    <row r="1002" spans="1:11">
      <c r="A1002" s="27"/>
      <c r="B1002" s="27"/>
      <c r="D1002" s="27"/>
      <c r="F1002" s="27"/>
      <c r="K1002" s="27"/>
    </row>
    <row r="1003" spans="1:11">
      <c r="A1003" s="27"/>
      <c r="B1003" s="27"/>
      <c r="D1003" s="27"/>
      <c r="F1003" s="27"/>
      <c r="K1003" s="27"/>
    </row>
    <row r="1004" spans="1:11">
      <c r="A1004" s="27"/>
      <c r="B1004" s="27"/>
      <c r="D1004" s="27"/>
      <c r="F1004" s="27"/>
      <c r="K1004" s="27"/>
    </row>
    <row r="1005" spans="1:11">
      <c r="A1005" s="27"/>
      <c r="B1005" s="27"/>
      <c r="D1005" s="27"/>
      <c r="F1005" s="27"/>
      <c r="K1005" s="27"/>
    </row>
    <row r="1006" spans="1:11">
      <c r="A1006" s="27"/>
      <c r="B1006" s="27"/>
      <c r="D1006" s="27"/>
      <c r="F1006" s="27"/>
      <c r="K1006" s="27"/>
    </row>
    <row r="1007" spans="1:11">
      <c r="A1007" s="27"/>
      <c r="B1007" s="27"/>
      <c r="D1007" s="27"/>
      <c r="F1007" s="27"/>
      <c r="K1007" s="27"/>
    </row>
  </sheetData>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10"/>
  <sheetViews>
    <sheetView workbookViewId="0"/>
  </sheetViews>
  <sheetFormatPr defaultColWidth="12.5703125" defaultRowHeight="15.75" customHeight="1"/>
  <cols>
    <col min="1" max="1" width="60.5703125" customWidth="1"/>
  </cols>
  <sheetData>
    <row r="1" spans="1:1">
      <c r="A1" s="36" t="s">
        <v>213</v>
      </c>
    </row>
    <row r="2" spans="1:1">
      <c r="A2" s="36" t="s">
        <v>214</v>
      </c>
    </row>
    <row r="3" spans="1:1">
      <c r="A3" s="36" t="s">
        <v>215</v>
      </c>
    </row>
    <row r="4" spans="1:1">
      <c r="A4" s="36" t="s">
        <v>216</v>
      </c>
    </row>
    <row r="7" spans="1:1">
      <c r="A7" s="27" t="s">
        <v>217</v>
      </c>
    </row>
    <row r="8" spans="1:1">
      <c r="A8" s="27" t="s">
        <v>218</v>
      </c>
    </row>
    <row r="9" spans="1:1">
      <c r="A9" s="27" t="s">
        <v>219</v>
      </c>
    </row>
    <row r="10" spans="1:1">
      <c r="A10" s="27" t="s">
        <v>220</v>
      </c>
    </row>
  </sheetData>
  <hyperlinks>
    <hyperlink ref="A1" r:id="rId1" xr:uid="{00000000-0004-0000-0600-000000000000}"/>
    <hyperlink ref="A2" r:id="rId2" xr:uid="{00000000-0004-0000-0600-000001000000}"/>
    <hyperlink ref="A3" r:id="rId3" xr:uid="{00000000-0004-0000-0600-000002000000}"/>
    <hyperlink ref="A4" r:id="rId4" xr:uid="{00000000-0004-0000-0600-000003000000}"/>
  </hyperlinks>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M107"/>
  <sheetViews>
    <sheetView workbookViewId="0"/>
  </sheetViews>
  <sheetFormatPr defaultColWidth="12.5703125" defaultRowHeight="15.75" customHeight="1"/>
  <cols>
    <col min="1" max="1" width="62" customWidth="1"/>
    <col min="2" max="2" width="69" customWidth="1"/>
    <col min="3" max="3" width="27" customWidth="1"/>
    <col min="4" max="4" width="34.7109375" customWidth="1"/>
    <col min="5" max="5" width="23.42578125" customWidth="1"/>
    <col min="6" max="6" width="41.140625" customWidth="1"/>
  </cols>
  <sheetData>
    <row r="1" spans="1:13">
      <c r="A1" s="2" t="s">
        <v>221</v>
      </c>
      <c r="B1" s="2"/>
      <c r="C1" s="2"/>
      <c r="D1" s="2"/>
      <c r="E1" s="2"/>
      <c r="F1" s="2"/>
      <c r="G1" s="2"/>
      <c r="H1" s="2"/>
      <c r="I1" s="2"/>
      <c r="J1" s="2"/>
      <c r="K1" s="2"/>
      <c r="L1" s="2"/>
      <c r="M1" s="2"/>
    </row>
    <row r="2" spans="1:13">
      <c r="A2" s="2" t="s">
        <v>222</v>
      </c>
      <c r="B2" s="2"/>
      <c r="C2" s="2"/>
      <c r="D2" s="2"/>
      <c r="E2" s="2"/>
      <c r="F2" s="2"/>
      <c r="G2" s="2"/>
      <c r="H2" s="2"/>
      <c r="I2" s="2"/>
      <c r="J2" s="2"/>
      <c r="K2" s="2"/>
      <c r="L2" s="2"/>
      <c r="M2" s="2"/>
    </row>
    <row r="3" spans="1:13">
      <c r="A3" s="2"/>
      <c r="B3" s="2"/>
      <c r="C3" s="2"/>
      <c r="D3" s="2"/>
      <c r="E3" s="2"/>
      <c r="F3" s="2"/>
      <c r="G3" s="2"/>
      <c r="H3" s="2"/>
      <c r="I3" s="2"/>
      <c r="J3" s="2"/>
      <c r="K3" s="2"/>
      <c r="L3" s="2"/>
      <c r="M3" s="2"/>
    </row>
    <row r="4" spans="1:13">
      <c r="A4" s="2" t="s">
        <v>223</v>
      </c>
      <c r="B4" s="2"/>
      <c r="C4" s="2"/>
      <c r="D4" s="2"/>
      <c r="E4" s="2"/>
      <c r="F4" s="2"/>
      <c r="G4" s="2"/>
      <c r="H4" s="2"/>
      <c r="I4" s="2"/>
      <c r="J4" s="2"/>
      <c r="K4" s="2"/>
      <c r="L4" s="2"/>
      <c r="M4" s="2"/>
    </row>
    <row r="5" spans="1:13">
      <c r="A5" s="2" t="s">
        <v>224</v>
      </c>
      <c r="B5" s="2"/>
      <c r="C5" s="2"/>
      <c r="D5" s="2"/>
      <c r="E5" s="2"/>
      <c r="F5" s="2"/>
      <c r="G5" s="2"/>
      <c r="H5" s="2"/>
      <c r="I5" s="2"/>
      <c r="J5" s="2"/>
      <c r="K5" s="2"/>
      <c r="L5" s="2"/>
      <c r="M5" s="2"/>
    </row>
    <row r="6" spans="1:13">
      <c r="A6" s="2" t="s">
        <v>225</v>
      </c>
      <c r="B6" s="2"/>
      <c r="C6" s="2"/>
      <c r="D6" s="2"/>
      <c r="E6" s="2"/>
      <c r="F6" s="2"/>
      <c r="G6" s="2"/>
      <c r="H6" s="2"/>
      <c r="I6" s="2"/>
      <c r="J6" s="2"/>
      <c r="K6" s="2"/>
      <c r="L6" s="2"/>
      <c r="M6" s="2"/>
    </row>
    <row r="7" spans="1:13">
      <c r="A7" s="2" t="s">
        <v>226</v>
      </c>
      <c r="B7" s="2"/>
      <c r="C7" s="2"/>
      <c r="D7" s="2"/>
      <c r="E7" s="2"/>
      <c r="F7" s="2"/>
      <c r="G7" s="2"/>
      <c r="H7" s="2"/>
      <c r="I7" s="2"/>
      <c r="J7" s="2"/>
      <c r="K7" s="2"/>
      <c r="L7" s="2"/>
      <c r="M7" s="2"/>
    </row>
    <row r="8" spans="1:13">
      <c r="B8" s="2"/>
      <c r="C8" s="2"/>
      <c r="D8" s="2"/>
      <c r="E8" s="2"/>
      <c r="F8" s="2"/>
      <c r="G8" s="2"/>
      <c r="H8" s="2"/>
      <c r="I8" s="2"/>
      <c r="J8" s="2"/>
      <c r="K8" s="2"/>
      <c r="L8" s="2"/>
      <c r="M8" s="2"/>
    </row>
    <row r="9" spans="1:13">
      <c r="A9" s="2"/>
      <c r="B9" s="2"/>
      <c r="C9" s="2"/>
      <c r="D9" s="2"/>
      <c r="E9" s="2"/>
      <c r="F9" s="2"/>
      <c r="G9" s="2"/>
      <c r="H9" s="2"/>
      <c r="I9" s="2"/>
      <c r="J9" s="2"/>
      <c r="K9" s="2"/>
      <c r="L9" s="2"/>
      <c r="M9" s="2"/>
    </row>
    <row r="10" spans="1:13">
      <c r="A10" s="2" t="s">
        <v>227</v>
      </c>
      <c r="B10" s="2"/>
      <c r="C10" s="2"/>
      <c r="D10" s="2"/>
      <c r="E10" s="2"/>
      <c r="F10" s="2"/>
      <c r="G10" s="2"/>
      <c r="H10" s="2"/>
      <c r="I10" s="2"/>
      <c r="J10" s="2"/>
      <c r="K10" s="2"/>
      <c r="L10" s="2"/>
      <c r="M10" s="2"/>
    </row>
    <row r="11" spans="1:13">
      <c r="A11" s="2" t="s">
        <v>228</v>
      </c>
      <c r="B11" s="2"/>
      <c r="C11" s="2"/>
      <c r="D11" s="2"/>
      <c r="E11" s="2"/>
      <c r="F11" s="2"/>
      <c r="G11" s="2"/>
      <c r="H11" s="2"/>
      <c r="I11" s="2"/>
      <c r="J11" s="2"/>
      <c r="K11" s="2"/>
      <c r="L11" s="2"/>
      <c r="M11" s="2"/>
    </row>
    <row r="12" spans="1:13">
      <c r="B12" s="2"/>
      <c r="C12" s="2"/>
      <c r="D12" s="2"/>
      <c r="E12" s="2"/>
      <c r="F12" s="2"/>
      <c r="G12" s="2"/>
      <c r="H12" s="2"/>
      <c r="I12" s="2"/>
      <c r="J12" s="2"/>
      <c r="K12" s="2"/>
      <c r="L12" s="2"/>
      <c r="M12" s="2"/>
    </row>
    <row r="13" spans="1:13">
      <c r="A13" s="2"/>
      <c r="B13" s="2"/>
      <c r="C13" s="2"/>
      <c r="D13" s="2"/>
      <c r="E13" s="2"/>
      <c r="F13" s="2"/>
      <c r="G13" s="2"/>
      <c r="H13" s="2"/>
      <c r="I13" s="2"/>
      <c r="J13" s="2"/>
      <c r="K13" s="2"/>
      <c r="L13" s="2"/>
      <c r="M13" s="2"/>
    </row>
    <row r="14" spans="1:13">
      <c r="A14" s="59" t="s">
        <v>229</v>
      </c>
      <c r="B14" s="51"/>
      <c r="C14" s="51"/>
      <c r="D14" s="51"/>
      <c r="E14" s="51"/>
      <c r="F14" s="51"/>
      <c r="G14" s="51"/>
      <c r="H14" s="51"/>
      <c r="I14" s="51"/>
      <c r="J14" s="51"/>
      <c r="K14" s="51"/>
      <c r="L14" s="51"/>
      <c r="M14" s="51"/>
    </row>
    <row r="15" spans="1:13" ht="15.75" customHeight="1">
      <c r="A15" s="51"/>
      <c r="B15" s="51"/>
      <c r="C15" s="51"/>
      <c r="D15" s="51"/>
      <c r="E15" s="51"/>
      <c r="F15" s="51"/>
      <c r="G15" s="51"/>
      <c r="H15" s="51"/>
      <c r="I15" s="51"/>
      <c r="J15" s="51"/>
      <c r="K15" s="51"/>
      <c r="L15" s="51"/>
      <c r="M15" s="51"/>
    </row>
    <row r="16" spans="1:13" ht="290.25" customHeight="1">
      <c r="A16" s="51"/>
      <c r="B16" s="51"/>
      <c r="C16" s="51"/>
      <c r="D16" s="51"/>
      <c r="E16" s="51"/>
      <c r="F16" s="51"/>
      <c r="G16" s="51"/>
      <c r="H16" s="51"/>
      <c r="I16" s="51"/>
      <c r="J16" s="51"/>
      <c r="K16" s="51"/>
      <c r="L16" s="51"/>
      <c r="M16" s="51"/>
    </row>
    <row r="17" spans="1:13" ht="15.75" customHeight="1">
      <c r="A17" s="51"/>
      <c r="B17" s="51"/>
      <c r="C17" s="51"/>
      <c r="D17" s="51"/>
      <c r="E17" s="51"/>
      <c r="F17" s="51"/>
      <c r="G17" s="51"/>
      <c r="H17" s="51"/>
      <c r="I17" s="51"/>
      <c r="J17" s="51"/>
      <c r="K17" s="51"/>
      <c r="L17" s="51"/>
      <c r="M17" s="51"/>
    </row>
    <row r="18" spans="1:13" ht="15.75" customHeight="1">
      <c r="A18" s="51"/>
      <c r="B18" s="51"/>
      <c r="C18" s="51"/>
      <c r="D18" s="51"/>
      <c r="E18" s="51"/>
      <c r="F18" s="51"/>
      <c r="G18" s="51"/>
      <c r="H18" s="51"/>
      <c r="I18" s="51"/>
      <c r="J18" s="51"/>
      <c r="K18" s="51"/>
      <c r="L18" s="51"/>
      <c r="M18" s="51"/>
    </row>
    <row r="21" spans="1:13">
      <c r="A21" s="2" t="s">
        <v>230</v>
      </c>
    </row>
    <row r="23" spans="1:13">
      <c r="A23" s="2" t="s">
        <v>231</v>
      </c>
    </row>
    <row r="25" spans="1:13">
      <c r="A25" s="2" t="s">
        <v>232</v>
      </c>
    </row>
    <row r="27" spans="1:13">
      <c r="A27" s="2" t="s">
        <v>233</v>
      </c>
    </row>
    <row r="29" spans="1:13">
      <c r="A29" s="2" t="s">
        <v>234</v>
      </c>
    </row>
    <row r="31" spans="1:13">
      <c r="A31" s="2" t="s">
        <v>235</v>
      </c>
    </row>
    <row r="32" spans="1:13">
      <c r="A32" s="2" t="s">
        <v>236</v>
      </c>
    </row>
    <row r="33" spans="1:1">
      <c r="A33" s="2" t="s">
        <v>237</v>
      </c>
    </row>
    <row r="34" spans="1:1">
      <c r="A34" s="2" t="s">
        <v>238</v>
      </c>
    </row>
    <row r="35" spans="1:1">
      <c r="A35" s="2" t="s">
        <v>239</v>
      </c>
    </row>
    <row r="36" spans="1:1">
      <c r="A36" s="2" t="s">
        <v>240</v>
      </c>
    </row>
    <row r="37" spans="1:1">
      <c r="A37" s="2" t="s">
        <v>241</v>
      </c>
    </row>
    <row r="39" spans="1:1" ht="409.6" customHeight="1">
      <c r="A39" s="2" t="s">
        <v>242</v>
      </c>
    </row>
    <row r="54" spans="1:6">
      <c r="C54" s="2" t="s">
        <v>243</v>
      </c>
    </row>
    <row r="55" spans="1:6">
      <c r="A55" s="2" t="s">
        <v>244</v>
      </c>
      <c r="B55" s="2"/>
      <c r="C55" s="37" t="s">
        <v>245</v>
      </c>
      <c r="D55" s="37" t="s">
        <v>246</v>
      </c>
      <c r="E55" s="37" t="s">
        <v>247</v>
      </c>
      <c r="F55" s="37" t="s">
        <v>248</v>
      </c>
    </row>
    <row r="56" spans="1:6">
      <c r="B56" s="2" t="s">
        <v>249</v>
      </c>
      <c r="C56" s="2" t="s">
        <v>250</v>
      </c>
      <c r="D56" s="2" t="s">
        <v>251</v>
      </c>
      <c r="E56" s="27" t="s">
        <v>252</v>
      </c>
      <c r="F56" s="7" t="s">
        <v>253</v>
      </c>
    </row>
    <row r="57" spans="1:6">
      <c r="B57" s="2" t="s">
        <v>254</v>
      </c>
      <c r="C57" s="2" t="s">
        <v>255</v>
      </c>
      <c r="D57" s="27" t="s">
        <v>256</v>
      </c>
      <c r="E57" s="27" t="s">
        <v>257</v>
      </c>
      <c r="F57" s="34" t="s">
        <v>258</v>
      </c>
    </row>
    <row r="58" spans="1:6">
      <c r="B58" s="38" t="s">
        <v>258</v>
      </c>
    </row>
    <row r="60" spans="1:6">
      <c r="C60" s="2" t="s">
        <v>259</v>
      </c>
      <c r="D60" s="2"/>
      <c r="E60" s="2"/>
      <c r="F60" s="2"/>
    </row>
    <row r="61" spans="1:6">
      <c r="C61" s="37" t="s">
        <v>245</v>
      </c>
      <c r="D61" s="37" t="s">
        <v>246</v>
      </c>
      <c r="E61" s="37" t="s">
        <v>247</v>
      </c>
      <c r="F61" s="37" t="s">
        <v>248</v>
      </c>
    </row>
    <row r="63" spans="1:6">
      <c r="D63" s="27"/>
      <c r="E63" s="27"/>
      <c r="F63" s="27"/>
    </row>
    <row r="64" spans="1:6">
      <c r="B64" s="2"/>
      <c r="D64" s="34" t="s">
        <v>260</v>
      </c>
      <c r="E64" s="27"/>
      <c r="F64" s="27"/>
    </row>
    <row r="65" spans="2:6">
      <c r="B65" s="2" t="s">
        <v>261</v>
      </c>
      <c r="C65" s="2" t="s">
        <v>262</v>
      </c>
      <c r="D65" s="27" t="s">
        <v>263</v>
      </c>
      <c r="E65" s="27" t="s">
        <v>264</v>
      </c>
      <c r="F65" s="27" t="s">
        <v>265</v>
      </c>
    </row>
    <row r="66" spans="2:6">
      <c r="B66" s="2" t="s">
        <v>126</v>
      </c>
      <c r="C66" s="2" t="s">
        <v>262</v>
      </c>
      <c r="D66" s="27" t="s">
        <v>266</v>
      </c>
      <c r="E66" s="27" t="s">
        <v>267</v>
      </c>
      <c r="F66" s="27" t="s">
        <v>265</v>
      </c>
    </row>
    <row r="67" spans="2:6">
      <c r="B67" s="2" t="s">
        <v>268</v>
      </c>
      <c r="C67" s="2" t="s">
        <v>262</v>
      </c>
      <c r="D67" s="27" t="s">
        <v>269</v>
      </c>
      <c r="E67" s="27" t="s">
        <v>270</v>
      </c>
      <c r="F67" s="27" t="s">
        <v>271</v>
      </c>
    </row>
    <row r="68" spans="2:6">
      <c r="D68" s="34" t="s">
        <v>140</v>
      </c>
      <c r="E68" s="27"/>
      <c r="F68" s="27"/>
    </row>
    <row r="69" spans="2:6">
      <c r="B69" s="2" t="s">
        <v>272</v>
      </c>
      <c r="C69" s="2" t="s">
        <v>262</v>
      </c>
      <c r="D69" s="27" t="s">
        <v>273</v>
      </c>
      <c r="E69" s="27" t="s">
        <v>274</v>
      </c>
      <c r="F69" s="27" t="s">
        <v>265</v>
      </c>
    </row>
    <row r="70" spans="2:6">
      <c r="B70" s="2" t="s">
        <v>275</v>
      </c>
      <c r="C70" s="2" t="s">
        <v>262</v>
      </c>
      <c r="D70" s="27" t="s">
        <v>276</v>
      </c>
      <c r="E70" s="27" t="s">
        <v>277</v>
      </c>
      <c r="F70" s="27" t="s">
        <v>265</v>
      </c>
    </row>
    <row r="71" spans="2:6">
      <c r="B71" s="2" t="s">
        <v>278</v>
      </c>
      <c r="C71" s="2" t="s">
        <v>262</v>
      </c>
      <c r="D71" s="27" t="s">
        <v>279</v>
      </c>
      <c r="E71" s="27" t="s">
        <v>280</v>
      </c>
      <c r="F71" s="27" t="s">
        <v>265</v>
      </c>
    </row>
    <row r="72" spans="2:6">
      <c r="D72" s="34" t="s">
        <v>281</v>
      </c>
      <c r="E72" s="27"/>
      <c r="F72" s="27"/>
    </row>
    <row r="73" spans="2:6">
      <c r="B73" s="2" t="s">
        <v>282</v>
      </c>
      <c r="C73" s="2" t="s">
        <v>262</v>
      </c>
      <c r="D73" s="27" t="s">
        <v>283</v>
      </c>
      <c r="E73" s="27" t="s">
        <v>284</v>
      </c>
      <c r="F73" s="27" t="s">
        <v>78</v>
      </c>
    </row>
    <row r="74" spans="2:6">
      <c r="B74" s="2" t="s">
        <v>285</v>
      </c>
      <c r="C74" s="2" t="s">
        <v>262</v>
      </c>
      <c r="D74" s="27" t="s">
        <v>286</v>
      </c>
      <c r="E74" s="27" t="s">
        <v>287</v>
      </c>
      <c r="F74" s="27" t="s">
        <v>288</v>
      </c>
    </row>
    <row r="75" spans="2:6">
      <c r="C75" s="39"/>
      <c r="D75" s="40" t="s">
        <v>142</v>
      </c>
      <c r="E75" s="41"/>
      <c r="F75" s="41"/>
    </row>
    <row r="76" spans="2:6">
      <c r="B76" s="2" t="s">
        <v>289</v>
      </c>
      <c r="C76" s="2" t="s">
        <v>262</v>
      </c>
      <c r="D76" s="27" t="s">
        <v>290</v>
      </c>
      <c r="E76" s="27" t="s">
        <v>291</v>
      </c>
      <c r="F76" s="27" t="s">
        <v>292</v>
      </c>
    </row>
    <row r="77" spans="2:6">
      <c r="B77" s="2" t="s">
        <v>293</v>
      </c>
      <c r="C77" s="2" t="s">
        <v>262</v>
      </c>
      <c r="D77" s="27" t="s">
        <v>294</v>
      </c>
      <c r="E77" s="27" t="s">
        <v>295</v>
      </c>
      <c r="F77" s="27" t="s">
        <v>265</v>
      </c>
    </row>
    <row r="78" spans="2:6">
      <c r="B78" s="2" t="s">
        <v>296</v>
      </c>
      <c r="C78" s="2" t="s">
        <v>262</v>
      </c>
      <c r="D78" s="27" t="s">
        <v>297</v>
      </c>
      <c r="E78" s="27" t="s">
        <v>298</v>
      </c>
      <c r="F78" s="27" t="s">
        <v>265</v>
      </c>
    </row>
    <row r="80" spans="2:6">
      <c r="B80" s="2" t="s">
        <v>299</v>
      </c>
      <c r="D80" s="27" t="s">
        <v>300</v>
      </c>
      <c r="F80" s="2" t="s">
        <v>301</v>
      </c>
    </row>
    <row r="106" spans="2:2">
      <c r="B106" s="2" t="s">
        <v>302</v>
      </c>
    </row>
    <row r="107" spans="2:2">
      <c r="B107" s="36" t="s">
        <v>303</v>
      </c>
    </row>
  </sheetData>
  <mergeCells count="1">
    <mergeCell ref="A14:M18"/>
  </mergeCells>
  <hyperlinks>
    <hyperlink ref="B107" r:id="rId1" xr:uid="{00000000-0004-0000-0700-000000000000}"/>
  </hyperlinks>
  <pageMargins left="0" right="0" top="0" bottom="0" header="0" footer="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3"/>
  <sheetViews>
    <sheetView workbookViewId="0"/>
  </sheetViews>
  <sheetFormatPr defaultColWidth="12.5703125" defaultRowHeight="15.75" customHeight="1"/>
  <cols>
    <col min="1" max="1" width="65.7109375" customWidth="1"/>
  </cols>
  <sheetData>
    <row r="1" spans="1:1">
      <c r="A1" s="7" t="s">
        <v>304</v>
      </c>
    </row>
    <row r="3" spans="1:1">
      <c r="A3" s="2" t="s">
        <v>305</v>
      </c>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Clinton Danso</cp:lastModifiedBy>
  <cp:revision/>
  <dcterms:created xsi:type="dcterms:W3CDTF">2025-04-22T13:22:10Z</dcterms:created>
  <dcterms:modified xsi:type="dcterms:W3CDTF">2025-04-22T13:22:10Z</dcterms:modified>
  <cp:category/>
  <cp:contentStatus/>
</cp:coreProperties>
</file>